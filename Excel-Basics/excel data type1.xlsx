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8c46e19384adc2/Documents/"/>
    </mc:Choice>
  </mc:AlternateContent>
  <xr:revisionPtr revIDLastSave="963" documentId="8_{CEF9AC31-681B-4C4B-8142-FD74C6238660}" xr6:coauthVersionLast="47" xr6:coauthVersionMax="47" xr10:uidLastSave="{B2208A82-6A35-496F-997A-C32A92C2552D}"/>
  <bookViews>
    <workbookView xWindow="-110" yWindow="-110" windowWidth="19420" windowHeight="11500" firstSheet="3" activeTab="7" xr2:uid="{668AF044-E42F-4192-AF3B-38EBA7017AB8}"/>
  </bookViews>
  <sheets>
    <sheet name="Sheet1" sheetId="1" r:id="rId1"/>
    <sheet name="Date &amp; Time" sheetId="2" r:id="rId2"/>
    <sheet name="Data aggregation" sheetId="3" r:id="rId3"/>
    <sheet name="math and stat function" sheetId="4" r:id="rId4"/>
    <sheet name="Sheet3" sheetId="6" r:id="rId5"/>
    <sheet name="LOOKUP FUNCTION" sheetId="7" r:id="rId6"/>
    <sheet name="Sheet2" sheetId="5" r:id="rId7"/>
    <sheet name="Sheet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8" l="1" a="1"/>
  <c r="L3" i="8" a="1"/>
  <c r="Q3" i="8" a="1"/>
  <c r="P3" i="8" a="1"/>
  <c r="L8" i="8"/>
  <c r="I15" i="8"/>
  <c r="I16" i="8"/>
  <c r="I17" i="8"/>
  <c r="I14" i="8"/>
  <c r="I8" i="8"/>
  <c r="I5" i="8" a="1"/>
  <c r="H5" i="8" a="1"/>
  <c r="I4" i="8" a="1"/>
  <c r="H4" i="8" a="1"/>
  <c r="K20" i="7"/>
  <c r="K21" i="7"/>
  <c r="K19" i="7"/>
  <c r="N15" i="7"/>
  <c r="K15" i="7"/>
  <c r="P9" i="7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K3" i="6"/>
  <c r="J3" i="6"/>
  <c r="I3" i="6"/>
  <c r="H3" i="6"/>
  <c r="G3" i="6"/>
  <c r="F3" i="6"/>
  <c r="E3" i="6"/>
  <c r="D3" i="6"/>
  <c r="C3" i="6"/>
  <c r="B3" i="6"/>
  <c r="K2" i="6"/>
  <c r="J2" i="6"/>
  <c r="I2" i="6"/>
  <c r="H2" i="6"/>
  <c r="G2" i="6"/>
  <c r="F2" i="6"/>
  <c r="E2" i="6"/>
  <c r="D2" i="6"/>
  <c r="C2" i="6"/>
  <c r="B2" i="6"/>
  <c r="I2" i="7"/>
  <c r="F3" i="7"/>
  <c r="F4" i="7"/>
  <c r="F5" i="7"/>
  <c r="F6" i="7"/>
  <c r="F7" i="7"/>
  <c r="F8" i="7"/>
  <c r="F9" i="7"/>
  <c r="J2" i="7" s="1"/>
  <c r="F10" i="7"/>
  <c r="F11" i="7"/>
  <c r="F2" i="7"/>
  <c r="D22" i="5"/>
  <c r="D21" i="5"/>
  <c r="D20" i="5"/>
  <c r="D23" i="5" s="1"/>
  <c r="I13" i="5"/>
  <c r="I10" i="5"/>
  <c r="I7" i="5"/>
  <c r="I4" i="5"/>
  <c r="F20" i="4"/>
  <c r="F21" i="4"/>
  <c r="F19" i="4"/>
  <c r="H18" i="4"/>
  <c r="F15" i="4"/>
  <c r="C16" i="4"/>
  <c r="C17" i="4"/>
  <c r="C15" i="4"/>
  <c r="B17" i="4"/>
  <c r="B16" i="4"/>
  <c r="B15" i="4"/>
  <c r="H21" i="4"/>
  <c r="H15" i="4"/>
  <c r="H12" i="4"/>
  <c r="G3" i="4"/>
  <c r="G4" i="4"/>
  <c r="G5" i="4"/>
  <c r="G6" i="4"/>
  <c r="G7" i="4"/>
  <c r="G8" i="4"/>
  <c r="G9" i="4"/>
  <c r="G10" i="4"/>
  <c r="G11" i="4"/>
  <c r="G2" i="4"/>
  <c r="H10" i="4"/>
  <c r="H6" i="4"/>
  <c r="F3" i="4"/>
  <c r="F4" i="4"/>
  <c r="F5" i="4"/>
  <c r="F6" i="4"/>
  <c r="F7" i="4"/>
  <c r="F8" i="4"/>
  <c r="F9" i="4"/>
  <c r="F10" i="4"/>
  <c r="F11" i="4"/>
  <c r="F2" i="4"/>
  <c r="H9" i="4"/>
  <c r="H4" i="4"/>
  <c r="H3" i="4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D3" i="3"/>
  <c r="D4" i="3"/>
  <c r="D5" i="3"/>
  <c r="D6" i="3"/>
  <c r="D2" i="3"/>
  <c r="G18" i="2"/>
  <c r="G17" i="2"/>
  <c r="G16" i="2"/>
  <c r="G15" i="2"/>
  <c r="F17" i="2"/>
  <c r="F18" i="2"/>
  <c r="F16" i="2"/>
  <c r="F15" i="2"/>
  <c r="E17" i="2"/>
  <c r="E16" i="2"/>
  <c r="E18" i="2"/>
  <c r="E15" i="2"/>
  <c r="I3" i="2"/>
  <c r="I4" i="2"/>
  <c r="I5" i="2"/>
  <c r="I2" i="2"/>
  <c r="F10" i="2"/>
  <c r="H3" i="2"/>
  <c r="H4" i="2"/>
  <c r="H2" i="2"/>
  <c r="G3" i="2"/>
  <c r="G4" i="2"/>
  <c r="G2" i="2"/>
  <c r="F3" i="2"/>
  <c r="F4" i="2"/>
  <c r="F2" i="2"/>
  <c r="B3" i="2"/>
  <c r="B2" i="2"/>
  <c r="C13" i="1"/>
  <c r="C14" i="1"/>
  <c r="D14" i="1" s="1"/>
  <c r="E14" i="1" s="1"/>
  <c r="E15" i="1"/>
  <c r="E16" i="1"/>
  <c r="E17" i="1"/>
  <c r="E18" i="1"/>
  <c r="D15" i="1"/>
  <c r="D16" i="1"/>
  <c r="D17" i="1"/>
  <c r="D18" i="1"/>
  <c r="D13" i="1"/>
  <c r="E13" i="1" s="1"/>
  <c r="C15" i="1"/>
  <c r="C16" i="1"/>
  <c r="C17" i="1"/>
  <c r="C18" i="1"/>
  <c r="L3" i="1"/>
  <c r="L4" i="1"/>
  <c r="L5" i="1"/>
  <c r="L6" i="1"/>
  <c r="L7" i="1"/>
  <c r="L2" i="1"/>
  <c r="K3" i="1"/>
  <c r="K4" i="1"/>
  <c r="K5" i="1"/>
  <c r="K6" i="1"/>
  <c r="K7" i="1"/>
  <c r="K2" i="1"/>
  <c r="J4" i="1"/>
  <c r="J5" i="1"/>
  <c r="J6" i="1"/>
  <c r="J7" i="1"/>
  <c r="J3" i="1"/>
  <c r="J2" i="1"/>
  <c r="H3" i="1"/>
  <c r="H4" i="1"/>
  <c r="H5" i="1"/>
  <c r="H6" i="1"/>
  <c r="H7" i="1"/>
  <c r="H2" i="1"/>
  <c r="F4" i="1"/>
  <c r="F3" i="1"/>
  <c r="F5" i="1"/>
  <c r="F6" i="1"/>
  <c r="F7" i="1"/>
  <c r="F2" i="1"/>
  <c r="E7" i="1"/>
  <c r="E6" i="1"/>
  <c r="E5" i="1"/>
  <c r="E4" i="1"/>
  <c r="E3" i="1"/>
  <c r="E2" i="1"/>
  <c r="P8" i="7" l="1"/>
  <c r="K6" i="6"/>
  <c r="K7" i="6" s="1"/>
  <c r="J6" i="6"/>
  <c r="J7" i="6" s="1"/>
  <c r="I6" i="6"/>
  <c r="I7" i="6" s="1"/>
  <c r="H6" i="6"/>
  <c r="H7" i="6" s="1"/>
  <c r="G6" i="6"/>
  <c r="G7" i="6" s="1"/>
  <c r="F6" i="6"/>
  <c r="F7" i="6" s="1"/>
  <c r="E6" i="6"/>
  <c r="E7" i="6" s="1"/>
  <c r="D6" i="6"/>
  <c r="D7" i="6" s="1"/>
  <c r="C6" i="6"/>
  <c r="C7" i="6" s="1"/>
  <c r="B6" i="6"/>
  <c r="B7" i="6" s="1"/>
  <c r="L12" i="6" l="1"/>
  <c r="I12" i="6"/>
  <c r="F12" i="6"/>
  <c r="C1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<sst xmlns="http://schemas.openxmlformats.org/spreadsheetml/2006/main" count="318" uniqueCount="234">
  <si>
    <t>Data Types In Excel</t>
  </si>
  <si>
    <t>number</t>
  </si>
  <si>
    <t>text</t>
  </si>
  <si>
    <t>date and time</t>
  </si>
  <si>
    <t>Length</t>
  </si>
  <si>
    <t>ATHARVA</t>
  </si>
  <si>
    <t>Rohan</t>
  </si>
  <si>
    <t>RAJAT</t>
  </si>
  <si>
    <t>RoHIT</t>
  </si>
  <si>
    <t xml:space="preserve">         Sahil</t>
  </si>
  <si>
    <t xml:space="preserve">Hanmant      </t>
  </si>
  <si>
    <t>REFERENCE</t>
  </si>
  <si>
    <t>ABSOLUTE</t>
  </si>
  <si>
    <t>relative</t>
  </si>
  <si>
    <t>Mixed</t>
  </si>
  <si>
    <t>f_Name</t>
  </si>
  <si>
    <t>l_Name</t>
  </si>
  <si>
    <t>jaGTAP</t>
  </si>
  <si>
    <t>Dhumal</t>
  </si>
  <si>
    <t>Jadhav</t>
  </si>
  <si>
    <t>Sharma</t>
  </si>
  <si>
    <t>Bobade</t>
  </si>
  <si>
    <t>Pisal</t>
  </si>
  <si>
    <t>full Name</t>
  </si>
  <si>
    <t>trimmed f_name</t>
  </si>
  <si>
    <t>atharva</t>
  </si>
  <si>
    <t>rohan</t>
  </si>
  <si>
    <t>rajat</t>
  </si>
  <si>
    <t>rohit</t>
  </si>
  <si>
    <t>sahil</t>
  </si>
  <si>
    <t>hanmant</t>
  </si>
  <si>
    <t>len_trim</t>
  </si>
  <si>
    <t>trimmed lname</t>
  </si>
  <si>
    <t>jagtap</t>
  </si>
  <si>
    <t>dhumal</t>
  </si>
  <si>
    <t>jadhav</t>
  </si>
  <si>
    <t>sharma</t>
  </si>
  <si>
    <t>bobade</t>
  </si>
  <si>
    <t>pisal</t>
  </si>
  <si>
    <t>proper Full Name</t>
  </si>
  <si>
    <t>proper full name</t>
  </si>
  <si>
    <t>upper</t>
  </si>
  <si>
    <t>#formula is proper(concate(trim(c3), " ",trim(C4)</t>
  </si>
  <si>
    <t>#upper(cell)</t>
  </si>
  <si>
    <t>#lower(cell)</t>
  </si>
  <si>
    <t>lower</t>
  </si>
  <si>
    <t>#len(cell)</t>
  </si>
  <si>
    <t>#proper(cell)</t>
  </si>
  <si>
    <t>#concat(cell</t>
  </si>
  <si>
    <t>Today</t>
  </si>
  <si>
    <t>Now</t>
  </si>
  <si>
    <t>Name</t>
  </si>
  <si>
    <t>sushil</t>
  </si>
  <si>
    <t>rushi</t>
  </si>
  <si>
    <t>John</t>
  </si>
  <si>
    <t>dob</t>
  </si>
  <si>
    <t>date of admission</t>
  </si>
  <si>
    <t>age</t>
  </si>
  <si>
    <t>age-mon</t>
  </si>
  <si>
    <t>Age_days</t>
  </si>
  <si>
    <t>Gayatri</t>
  </si>
  <si>
    <t>FULL AGE</t>
  </si>
  <si>
    <t>project</t>
  </si>
  <si>
    <t>Market Research</t>
  </si>
  <si>
    <t>Product Design</t>
  </si>
  <si>
    <t>Testing Phase</t>
  </si>
  <si>
    <t>Final Report</t>
  </si>
  <si>
    <t>start date</t>
  </si>
  <si>
    <t>end date</t>
  </si>
  <si>
    <t>total days required</t>
  </si>
  <si>
    <t>WORKING DAYS</t>
  </si>
  <si>
    <t>india workdays</t>
  </si>
  <si>
    <t>today</t>
  </si>
  <si>
    <t>now</t>
  </si>
  <si>
    <t>datedif</t>
  </si>
  <si>
    <t>network</t>
  </si>
  <si>
    <t>networkdays.indl</t>
  </si>
  <si>
    <t>Month</t>
  </si>
  <si>
    <t>Sales</t>
  </si>
  <si>
    <t>Expenses</t>
  </si>
  <si>
    <t>Profit</t>
  </si>
  <si>
    <t>January</t>
  </si>
  <si>
    <t>February</t>
  </si>
  <si>
    <t>March</t>
  </si>
  <si>
    <t>April</t>
  </si>
  <si>
    <t>May</t>
  </si>
  <si>
    <t>Total Sale</t>
  </si>
  <si>
    <t>Total Expense</t>
  </si>
  <si>
    <t>Total Profit</t>
  </si>
  <si>
    <t>Avg Profit</t>
  </si>
  <si>
    <t>Standard deviation</t>
  </si>
  <si>
    <t>avg sales</t>
  </si>
  <si>
    <t>avg expenses</t>
  </si>
  <si>
    <t>Max Sale</t>
  </si>
  <si>
    <t>max profit</t>
  </si>
  <si>
    <t>Max Expense</t>
  </si>
  <si>
    <t>min sale</t>
  </si>
  <si>
    <t>min expense</t>
  </si>
  <si>
    <t>min profit</t>
  </si>
  <si>
    <t>count</t>
  </si>
  <si>
    <t>count A</t>
  </si>
  <si>
    <t>if</t>
  </si>
  <si>
    <t>iferror</t>
  </si>
  <si>
    <t>Product</t>
  </si>
  <si>
    <t>Region</t>
  </si>
  <si>
    <t>Units Sold</t>
  </si>
  <si>
    <t>Revenue</t>
  </si>
  <si>
    <t>Laptop</t>
  </si>
  <si>
    <t>East</t>
  </si>
  <si>
    <t>Phone</t>
  </si>
  <si>
    <t>West</t>
  </si>
  <si>
    <t>Tablet</t>
  </si>
  <si>
    <t>North</t>
  </si>
  <si>
    <t>South</t>
  </si>
  <si>
    <t>Q.1. What is the total number of transactions</t>
  </si>
  <si>
    <t>Q.2. Find the total number of products.</t>
  </si>
  <si>
    <t>Q.3. Calculate total revenue from laptop sales.</t>
  </si>
  <si>
    <t>Q.4. Find total sold for "phone in East" region.</t>
  </si>
  <si>
    <t>Q.5. Count how many months had tablet sales.</t>
  </si>
  <si>
    <t>Q.6. Count laptop sales exceeding 100 units.</t>
  </si>
  <si>
    <t>Q.7. Calculate average revenue for "East" region.</t>
  </si>
  <si>
    <t>ife2</t>
  </si>
  <si>
    <t>sale_cat</t>
  </si>
  <si>
    <t>Sale-cat2</t>
  </si>
  <si>
    <t>laptop</t>
  </si>
  <si>
    <t>phone</t>
  </si>
  <si>
    <t>tablet</t>
  </si>
  <si>
    <t>product</t>
  </si>
  <si>
    <t>revenue</t>
  </si>
  <si>
    <t>Order ID</t>
  </si>
  <si>
    <t>Qty</t>
  </si>
  <si>
    <t>Unit Price</t>
  </si>
  <si>
    <t>Total Sales</t>
  </si>
  <si>
    <t>Mouse</t>
  </si>
  <si>
    <t>Keyboard</t>
  </si>
  <si>
    <t>Monitor</t>
  </si>
  <si>
    <t>Headphones</t>
  </si>
  <si>
    <t>Printer</t>
  </si>
  <si>
    <t>USB Drive</t>
  </si>
  <si>
    <t>SSD</t>
  </si>
  <si>
    <t>Webcam</t>
  </si>
  <si>
    <t>Speaker</t>
  </si>
  <si>
    <t>Router</t>
  </si>
  <si>
    <t>Q.1.) Calculate total sales for the east region</t>
  </si>
  <si>
    <t>Q.2) sum sales for keyboards for Qty&gt;5 units</t>
  </si>
  <si>
    <t>Q.3) Count orders with Total Sales ≥500.</t>
  </si>
  <si>
    <t>Q.4) Count West region orders selling &gt;5 units.</t>
  </si>
  <si>
    <t>Q.5)  Find average sales for Premium products (Laptop/Monitor/Tablet).</t>
  </si>
  <si>
    <t>Avg. Sales</t>
  </si>
  <si>
    <t xml:space="preserve">Monitor </t>
  </si>
  <si>
    <t>Products</t>
  </si>
  <si>
    <t>Total Avg.</t>
  </si>
  <si>
    <t>lookup function</t>
  </si>
  <si>
    <t>VLOOKUP</t>
  </si>
  <si>
    <t>HLOOKUP</t>
  </si>
  <si>
    <t>XLOOKUP</t>
  </si>
  <si>
    <t>INDEX</t>
  </si>
  <si>
    <t>MATCH</t>
  </si>
  <si>
    <t>IFERROR(VLOOKUP(B11</t>
  </si>
  <si>
    <t>Bonus</t>
  </si>
  <si>
    <t>Ashwini</t>
  </si>
  <si>
    <t>Asifa</t>
  </si>
  <si>
    <t>Khushbu</t>
  </si>
  <si>
    <t>Khushi</t>
  </si>
  <si>
    <t>Krisha</t>
  </si>
  <si>
    <t>Nikita</t>
  </si>
  <si>
    <t>Padmaja</t>
  </si>
  <si>
    <t>Prajakta</t>
  </si>
  <si>
    <t>Pranjal</t>
  </si>
  <si>
    <t>mob no.</t>
  </si>
  <si>
    <t>salary</t>
  </si>
  <si>
    <t>Bonus %</t>
  </si>
  <si>
    <t>EMP</t>
  </si>
  <si>
    <t xml:space="preserve">MOB.NO. </t>
  </si>
  <si>
    <t>BONUS</t>
  </si>
  <si>
    <t>TEST1</t>
  </si>
  <si>
    <t>TEST2</t>
  </si>
  <si>
    <t>TEST3</t>
  </si>
  <si>
    <t>Final Test</t>
  </si>
  <si>
    <t>Total marks</t>
  </si>
  <si>
    <t>khushabu</t>
  </si>
  <si>
    <t>khushi</t>
  </si>
  <si>
    <t>krisha</t>
  </si>
  <si>
    <t>nikita</t>
  </si>
  <si>
    <t>padmaja</t>
  </si>
  <si>
    <t>prajakta</t>
  </si>
  <si>
    <t>pranjal</t>
  </si>
  <si>
    <t>name</t>
  </si>
  <si>
    <t>try for reverse HLOOKUP</t>
  </si>
  <si>
    <t>XLOOKUP: IT CAN WORK WITH ANY DATA(VERTICAL,HORIZONTAL)</t>
  </si>
  <si>
    <t>EMP ID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</si>
  <si>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</si>
  <si>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</si>
  <si>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</si>
  <si>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</si>
  <si>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</si>
  <si>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</si>
  <si>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</si>
  <si>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</si>
  <si>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</si>
  <si>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</si>
  <si>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NAME</t>
  </si>
  <si>
    <t>REVERSE XLOOKUP</t>
  </si>
  <si>
    <t xml:space="preserve">% </t>
  </si>
  <si>
    <t>Hlookup</t>
  </si>
  <si>
    <t>percent</t>
  </si>
  <si>
    <t>PERCENT</t>
  </si>
  <si>
    <t>SALARY</t>
  </si>
  <si>
    <t>S.No.</t>
  </si>
  <si>
    <t>Math</t>
  </si>
  <si>
    <t>Language</t>
  </si>
  <si>
    <t>History</t>
  </si>
  <si>
    <t>Physics</t>
  </si>
  <si>
    <t>Alex</t>
  </si>
  <si>
    <t>Aron</t>
  </si>
  <si>
    <t>Aubrey</t>
  </si>
  <si>
    <t>CALISTA</t>
  </si>
  <si>
    <t>Chase</t>
  </si>
  <si>
    <t>Claris</t>
  </si>
  <si>
    <t>Curt</t>
  </si>
  <si>
    <t>Delaine</t>
  </si>
  <si>
    <t>Enoch</t>
  </si>
  <si>
    <t>Florene</t>
  </si>
  <si>
    <t>index</t>
  </si>
  <si>
    <t>language</t>
  </si>
  <si>
    <t>history</t>
  </si>
  <si>
    <t>row_indx_no</t>
  </si>
  <si>
    <t>marks</t>
  </si>
  <si>
    <t>col_idx</t>
  </si>
  <si>
    <t>student name</t>
  </si>
  <si>
    <t>subject</t>
  </si>
  <si>
    <t>math</t>
  </si>
  <si>
    <t>physics</t>
  </si>
  <si>
    <t>reverse 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</si>
</sst>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i/>
      <sz val="11"/>
      <color theme="5" tint="-0.499984740745262"/>
      <name val="Aptos Narrow"/>
      <family val="2"/>
      <scheme val="minor"/>
    </font>
    <font>
      <b/>
      <i/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1" xfId="0" applyFill="1" applyBorder="1"/>
    <xf numFmtId="14" fontId="0" fillId="3" borderId="1" xfId="0" applyNumberFormat="1" applyFill="1" applyBorder="1"/>
    <xf numFmtId="22" fontId="0" fillId="3" borderId="1" xfId="0" applyNumberFormat="1" applyFill="1" applyBorder="1"/>
    <xf numFmtId="0" fontId="0" fillId="4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0" fontId="2" fillId="2" borderId="2" xfId="0" applyFont="1" applyFill="1" applyBorder="1"/>
    <xf numFmtId="14" fontId="2" fillId="2" borderId="0" xfId="0" applyNumberFormat="1" applyFont="1" applyFill="1"/>
    <xf numFmtId="0" fontId="2" fillId="2" borderId="0" xfId="0" applyFont="1" applyFill="1"/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1" fillId="12" borderId="1" xfId="0" applyFont="1" applyFill="1" applyBorder="1"/>
    <xf numFmtId="0" fontId="0" fillId="13" borderId="1" xfId="0" applyFill="1" applyBorder="1"/>
    <xf numFmtId="0" fontId="1" fillId="12" borderId="1" xfId="0" applyFont="1" applyFill="1" applyBorder="1" applyAlignment="1">
      <alignment horizontal="center"/>
    </xf>
    <xf numFmtId="3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13" borderId="1" xfId="0" applyFont="1" applyFill="1" applyBorder="1"/>
    <xf numFmtId="0" fontId="1" fillId="13" borderId="1" xfId="0" applyFont="1" applyFill="1" applyBorder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7" fillId="14" borderId="0" xfId="0" applyFont="1" applyFill="1"/>
    <xf numFmtId="0" fontId="8" fillId="14" borderId="0" xfId="0" applyFont="1" applyFill="1"/>
    <xf numFmtId="0" fontId="11" fillId="16" borderId="1" xfId="0" applyFont="1" applyFill="1" applyBorder="1"/>
    <xf numFmtId="0" fontId="11" fillId="17" borderId="3" xfId="0" applyFont="1" applyFill="1" applyBorder="1"/>
    <xf numFmtId="0" fontId="1" fillId="15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8" borderId="1" xfId="0" applyFont="1" applyFill="1" applyBorder="1"/>
    <xf numFmtId="0" fontId="1" fillId="18" borderId="1" xfId="0" applyFont="1" applyFill="1" applyBorder="1"/>
    <xf numFmtId="0" fontId="0" fillId="16" borderId="1" xfId="0" applyFill="1" applyBorder="1"/>
    <xf numFmtId="0" fontId="0" fillId="15" borderId="1" xfId="0" applyFill="1" applyBorder="1"/>
    <xf numFmtId="0" fontId="11" fillId="4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" fillId="14" borderId="1" xfId="0" applyFont="1" applyFill="1" applyBorder="1"/>
    <xf numFmtId="0" fontId="7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'Data aggregation'!$B$2:$B$6</c:f>
              <c:numCache>
                <c:formatCode>General</c:formatCode>
                <c:ptCount val="5"/>
                <c:pt idx="0">
                  <c:v>5000</c:v>
                </c:pt>
                <c:pt idx="1">
                  <c:v>6200</c:v>
                </c:pt>
                <c:pt idx="2">
                  <c:v>4500</c:v>
                </c:pt>
                <c:pt idx="3">
                  <c:v>7100</c:v>
                </c:pt>
                <c:pt idx="4">
                  <c:v>5800</c:v>
                </c:pt>
              </c:numCache>
            </c:numRef>
          </c:xVal>
          <c:yVal>
            <c:numRef>
              <c:f>'Data aggregation'!$D$2:$D$6</c:f>
              <c:numCache>
                <c:formatCode>General</c:formatCode>
                <c:ptCount val="5"/>
                <c:pt idx="0">
                  <c:v>2000</c:v>
                </c:pt>
                <c:pt idx="1">
                  <c:v>3400</c:v>
                </c:pt>
                <c:pt idx="2">
                  <c:v>1300</c:v>
                </c:pt>
                <c:pt idx="3">
                  <c:v>3100</c:v>
                </c:pt>
                <c:pt idx="4">
                  <c:v>2300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DD-41C7-B28A-2ED28BDEE9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21666111"/>
        <c:axId val="322268623"/>
      </c:scatterChart>
      <c:valAx>
        <c:axId val="22166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268623"/>
        <c:crosses val="autoZero"/>
        <c:crossBetween val="midCat"/>
      </c:valAx>
      <c:valAx>
        <c:axId val="32226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6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0</xdr:row>
      <xdr:rowOff>101600</xdr:rowOff>
    </xdr:from>
    <xdr:to>
      <xdr:col>11</xdr:col>
      <xdr:colOff>504825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71A1C-988D-27F1-78F0-F585B086B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E62D-082A-4401-BC5B-9ABD5EF9AC73}">
  <dimension ref="A1:L18"/>
  <sheetViews>
    <sheetView workbookViewId="0">
      <selection activeCell="J10" sqref="J10"/>
    </sheetView>
  </sheetViews>
  <sheetFormatPr defaultRowHeight="14.5" x14ac:dyDescent="0.35"/>
  <cols>
    <col min="1" max="1" width="16.26953125" bestFit="1" customWidth="1"/>
    <col min="3" max="3" width="14.26953125" customWidth="1"/>
    <col min="4" max="4" width="15" bestFit="1" customWidth="1"/>
    <col min="5" max="5" width="12.26953125" bestFit="1" customWidth="1"/>
    <col min="6" max="6" width="14.36328125" bestFit="1" customWidth="1"/>
    <col min="7" max="7" width="14" bestFit="1" customWidth="1"/>
    <col min="9" max="9" width="13.08984375" bestFit="1" customWidth="1"/>
    <col min="10" max="10" width="14.36328125" bestFit="1" customWidth="1"/>
    <col min="11" max="11" width="14.6328125" bestFit="1" customWidth="1"/>
    <col min="12" max="12" width="12.54296875" bestFit="1" customWidth="1"/>
  </cols>
  <sheetData>
    <row r="1" spans="1:12" x14ac:dyDescent="0.35">
      <c r="A1" t="s">
        <v>0</v>
      </c>
      <c r="C1" s="1" t="s">
        <v>15</v>
      </c>
      <c r="D1" s="1" t="s">
        <v>16</v>
      </c>
      <c r="E1" s="1" t="s">
        <v>4</v>
      </c>
      <c r="F1" s="1" t="s">
        <v>23</v>
      </c>
      <c r="G1" s="1" t="s">
        <v>24</v>
      </c>
      <c r="H1" s="1" t="s">
        <v>31</v>
      </c>
      <c r="I1" t="s">
        <v>32</v>
      </c>
      <c r="J1" t="s">
        <v>23</v>
      </c>
      <c r="K1" t="s">
        <v>39</v>
      </c>
    </row>
    <row r="2" spans="1:12" x14ac:dyDescent="0.35">
      <c r="A2" t="s">
        <v>1</v>
      </c>
      <c r="C2" t="s">
        <v>5</v>
      </c>
      <c r="D2" t="s">
        <v>17</v>
      </c>
      <c r="E2">
        <f t="shared" ref="E2:E7" si="0">LEN(C2)</f>
        <v>7</v>
      </c>
      <c r="F2" t="str">
        <f>_xlfn.CONCAT(C2:D2)</f>
        <v>ATHARVAjaGTAP</v>
      </c>
      <c r="G2" t="s">
        <v>25</v>
      </c>
      <c r="H2">
        <f>LEN(G2)</f>
        <v>7</v>
      </c>
      <c r="I2" t="s">
        <v>33</v>
      </c>
      <c r="J2" t="str">
        <f>_xlfn.CONCAT(C2," ",D2)</f>
        <v>ATHARVA jaGTAP</v>
      </c>
      <c r="K2" t="str">
        <f>PROPER(J2)</f>
        <v>Atharva Jagtap</v>
      </c>
      <c r="L2" t="str">
        <f>TRIM(K2)</f>
        <v>Atharva Jagtap</v>
      </c>
    </row>
    <row r="3" spans="1:12" x14ac:dyDescent="0.35">
      <c r="A3" t="s">
        <v>2</v>
      </c>
      <c r="C3" t="s">
        <v>6</v>
      </c>
      <c r="D3" t="s">
        <v>18</v>
      </c>
      <c r="E3">
        <f t="shared" si="0"/>
        <v>5</v>
      </c>
      <c r="F3" t="str">
        <f t="shared" ref="F3:F7" si="1">_xlfn.CONCAT(C3:D3)</f>
        <v>RohanDhumal</v>
      </c>
      <c r="G3" t="s">
        <v>26</v>
      </c>
      <c r="H3">
        <f t="shared" ref="H3:H7" si="2">LEN(G3)</f>
        <v>5</v>
      </c>
      <c r="I3" t="s">
        <v>34</v>
      </c>
      <c r="J3" t="str">
        <f>_xlfn.CONCAT(C3," ",D3)</f>
        <v>Rohan Dhumal</v>
      </c>
      <c r="K3" t="str">
        <f t="shared" ref="K3:K7" si="3">PROPER(J3)</f>
        <v>Rohan Dhumal</v>
      </c>
      <c r="L3" t="str">
        <f t="shared" ref="L3:L7" si="4">TRIM(K3)</f>
        <v>Rohan Dhumal</v>
      </c>
    </row>
    <row r="4" spans="1:12" x14ac:dyDescent="0.35">
      <c r="A4" t="s">
        <v>3</v>
      </c>
      <c r="C4" t="s">
        <v>7</v>
      </c>
      <c r="D4" t="s">
        <v>19</v>
      </c>
      <c r="E4">
        <f t="shared" si="0"/>
        <v>5</v>
      </c>
      <c r="F4" t="str">
        <f>_xlfn.CONCAT(C4:D4 )</f>
        <v>RAJATJadhav</v>
      </c>
      <c r="G4" t="s">
        <v>27</v>
      </c>
      <c r="H4">
        <f t="shared" si="2"/>
        <v>5</v>
      </c>
      <c r="I4" t="s">
        <v>35</v>
      </c>
      <c r="J4" t="str">
        <f t="shared" ref="J4:J7" si="5">_xlfn.CONCAT(C4," ",D4)</f>
        <v>RAJAT Jadhav</v>
      </c>
      <c r="K4" t="str">
        <f t="shared" si="3"/>
        <v>Rajat Jadhav</v>
      </c>
      <c r="L4" t="str">
        <f t="shared" si="4"/>
        <v>Rajat Jadhav</v>
      </c>
    </row>
    <row r="5" spans="1:12" x14ac:dyDescent="0.35">
      <c r="C5" t="s">
        <v>8</v>
      </c>
      <c r="D5" t="s">
        <v>20</v>
      </c>
      <c r="E5">
        <f t="shared" si="0"/>
        <v>5</v>
      </c>
      <c r="F5" t="str">
        <f t="shared" si="1"/>
        <v>RoHITSharma</v>
      </c>
      <c r="G5" t="s">
        <v>28</v>
      </c>
      <c r="H5">
        <f t="shared" si="2"/>
        <v>5</v>
      </c>
      <c r="I5" t="s">
        <v>36</v>
      </c>
      <c r="J5" t="str">
        <f t="shared" si="5"/>
        <v>RoHIT Sharma</v>
      </c>
      <c r="K5" t="str">
        <f t="shared" si="3"/>
        <v>Rohit Sharma</v>
      </c>
      <c r="L5" t="str">
        <f t="shared" si="4"/>
        <v>Rohit Sharma</v>
      </c>
    </row>
    <row r="6" spans="1:12" x14ac:dyDescent="0.35">
      <c r="C6" t="s">
        <v>9</v>
      </c>
      <c r="D6" t="s">
        <v>21</v>
      </c>
      <c r="E6">
        <f t="shared" si="0"/>
        <v>14</v>
      </c>
      <c r="F6" t="str">
        <f t="shared" si="1"/>
        <v xml:space="preserve">         SahilBobade</v>
      </c>
      <c r="G6" t="s">
        <v>29</v>
      </c>
      <c r="H6">
        <f t="shared" si="2"/>
        <v>5</v>
      </c>
      <c r="I6" t="s">
        <v>37</v>
      </c>
      <c r="J6" t="str">
        <f t="shared" si="5"/>
        <v xml:space="preserve">         Sahil Bobade</v>
      </c>
      <c r="K6" t="str">
        <f t="shared" si="3"/>
        <v xml:space="preserve">         Sahil Bobade</v>
      </c>
      <c r="L6" t="str">
        <f t="shared" si="4"/>
        <v>Sahil Bobade</v>
      </c>
    </row>
    <row r="7" spans="1:12" x14ac:dyDescent="0.35">
      <c r="C7" t="s">
        <v>10</v>
      </c>
      <c r="D7" t="s">
        <v>22</v>
      </c>
      <c r="E7">
        <f t="shared" si="0"/>
        <v>13</v>
      </c>
      <c r="F7" t="str">
        <f t="shared" si="1"/>
        <v>Hanmant      Pisal</v>
      </c>
      <c r="G7" t="s">
        <v>30</v>
      </c>
      <c r="H7">
        <f t="shared" si="2"/>
        <v>7</v>
      </c>
      <c r="I7" t="s">
        <v>38</v>
      </c>
      <c r="J7" t="str">
        <f t="shared" si="5"/>
        <v>Hanmant       Pisal</v>
      </c>
      <c r="K7" t="str">
        <f t="shared" si="3"/>
        <v>Hanmant       Pisal</v>
      </c>
      <c r="L7" t="str">
        <f t="shared" si="4"/>
        <v>Hanmant Pisal</v>
      </c>
    </row>
    <row r="12" spans="1:12" x14ac:dyDescent="0.35">
      <c r="A12" t="s">
        <v>11</v>
      </c>
      <c r="C12" s="1" t="s">
        <v>40</v>
      </c>
      <c r="D12" s="1" t="s">
        <v>41</v>
      </c>
      <c r="E12" s="1" t="s">
        <v>45</v>
      </c>
    </row>
    <row r="13" spans="1:12" x14ac:dyDescent="0.35">
      <c r="A13" t="s">
        <v>12</v>
      </c>
      <c r="C13" t="str">
        <f>PROPER(_xlfn.CONCAT(TRIM(C2), " ",TRIM(D2)))</f>
        <v>Atharva Jagtap</v>
      </c>
      <c r="D13" t="str">
        <f>UPPER(C13)</f>
        <v>ATHARVA JAGTAP</v>
      </c>
      <c r="E13" t="str">
        <f>LOWER(D13)</f>
        <v>atharva jagtap</v>
      </c>
      <c r="G13" s="2" t="s">
        <v>42</v>
      </c>
      <c r="H13" s="2"/>
      <c r="I13" s="2"/>
      <c r="J13" s="2"/>
    </row>
    <row r="14" spans="1:12" x14ac:dyDescent="0.35">
      <c r="A14" t="s">
        <v>13</v>
      </c>
      <c r="C14" t="str">
        <f t="shared" ref="C14:C18" si="6">PROPER(_xlfn.CONCAT(TRIM(C3)," ",TRIM(D3)))</f>
        <v>Rohan Dhumal</v>
      </c>
      <c r="D14" t="str">
        <f t="shared" ref="D14:D18" si="7">UPPER(C14)</f>
        <v>ROHAN DHUMAL</v>
      </c>
      <c r="E14" t="str">
        <f t="shared" ref="E14:E18" si="8">LOWER(D14)</f>
        <v>rohan dhumal</v>
      </c>
      <c r="G14" s="2" t="s">
        <v>43</v>
      </c>
    </row>
    <row r="15" spans="1:12" x14ac:dyDescent="0.35">
      <c r="A15" t="s">
        <v>14</v>
      </c>
      <c r="C15" t="str">
        <f t="shared" si="6"/>
        <v>Rajat Jadhav</v>
      </c>
      <c r="D15" t="str">
        <f t="shared" si="7"/>
        <v>RAJAT JADHAV</v>
      </c>
      <c r="E15" t="str">
        <f t="shared" si="8"/>
        <v>rajat jadhav</v>
      </c>
      <c r="G15" s="2" t="s">
        <v>44</v>
      </c>
    </row>
    <row r="16" spans="1:12" x14ac:dyDescent="0.35">
      <c r="C16" t="str">
        <f t="shared" si="6"/>
        <v>Rohit Sharma</v>
      </c>
      <c r="D16" t="str">
        <f t="shared" si="7"/>
        <v>ROHIT SHARMA</v>
      </c>
      <c r="E16" t="str">
        <f t="shared" si="8"/>
        <v>rohit sharma</v>
      </c>
      <c r="G16" s="2" t="s">
        <v>46</v>
      </c>
    </row>
    <row r="17" spans="3:7" x14ac:dyDescent="0.35">
      <c r="C17" t="str">
        <f t="shared" si="6"/>
        <v>Sahil Bobade</v>
      </c>
      <c r="D17" t="str">
        <f t="shared" si="7"/>
        <v>SAHIL BOBADE</v>
      </c>
      <c r="E17" t="str">
        <f t="shared" si="8"/>
        <v>sahil bobade</v>
      </c>
      <c r="G17" s="2" t="s">
        <v>47</v>
      </c>
    </row>
    <row r="18" spans="3:7" x14ac:dyDescent="0.35">
      <c r="C18" t="str">
        <f t="shared" si="6"/>
        <v>Hanmant Pisal</v>
      </c>
      <c r="D18" t="str">
        <f t="shared" si="7"/>
        <v>HANMANT PISAL</v>
      </c>
      <c r="E18" t="str">
        <f t="shared" si="8"/>
        <v>hanmant pisal</v>
      </c>
      <c r="G18" s="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D14D-57C7-4A55-B823-B45EDEF1710B}">
  <dimension ref="A1:J21"/>
  <sheetViews>
    <sheetView workbookViewId="0">
      <selection activeCell="E24" sqref="E24"/>
    </sheetView>
  </sheetViews>
  <sheetFormatPr defaultRowHeight="14.5" x14ac:dyDescent="0.35"/>
  <cols>
    <col min="2" max="2" width="15.08984375" bestFit="1" customWidth="1"/>
    <col min="3" max="4" width="10.08984375" bestFit="1" customWidth="1"/>
    <col min="5" max="5" width="15.7265625" bestFit="1" customWidth="1"/>
    <col min="6" max="6" width="21.81640625" bestFit="1" customWidth="1"/>
    <col min="7" max="7" width="13.453125" bestFit="1" customWidth="1"/>
    <col min="9" max="9" width="21.26953125" bestFit="1" customWidth="1"/>
    <col min="10" max="10" width="14.54296875" bestFit="1" customWidth="1"/>
  </cols>
  <sheetData>
    <row r="1" spans="1:10" x14ac:dyDescent="0.35">
      <c r="A1" s="6"/>
      <c r="B1" s="7" t="s">
        <v>3</v>
      </c>
      <c r="C1" s="7" t="s">
        <v>51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61</v>
      </c>
    </row>
    <row r="2" spans="1:10" x14ac:dyDescent="0.35">
      <c r="A2" s="3" t="s">
        <v>49</v>
      </c>
      <c r="B2" s="4">
        <f ca="1">TODAY()</f>
        <v>46269</v>
      </c>
      <c r="C2" s="3" t="s">
        <v>52</v>
      </c>
      <c r="D2" s="4">
        <v>35043</v>
      </c>
      <c r="E2" s="4">
        <v>44013</v>
      </c>
      <c r="F2" s="3">
        <f>DATEDIF(D2,E2, "y")</f>
        <v>24</v>
      </c>
      <c r="G2" s="3">
        <f>DATEDIF(D2,E2, "m")</f>
        <v>294</v>
      </c>
      <c r="H2" s="3">
        <f>DATEDIF(D2,E2, "d")</f>
        <v>8970</v>
      </c>
      <c r="I2" s="3" t="str">
        <f>DATEDIF(D2,E2,"Y")&amp;"years"&amp;DATEDIF(D2,E2,"Ym")&amp;"months"&amp;DATEDIF(D2,E2,"md")&amp;"days"</f>
        <v>24years6months21days</v>
      </c>
    </row>
    <row r="3" spans="1:10" x14ac:dyDescent="0.35">
      <c r="A3" s="3" t="s">
        <v>50</v>
      </c>
      <c r="B3" s="5">
        <f ca="1">NOW()</f>
        <v>46269.016260185184</v>
      </c>
      <c r="C3" s="3" t="s">
        <v>53</v>
      </c>
      <c r="D3" s="4">
        <v>35292</v>
      </c>
      <c r="E3" s="4">
        <v>44013</v>
      </c>
      <c r="F3" s="3">
        <f t="shared" ref="F3:F4" si="0">DATEDIF(D3,E3, "y")</f>
        <v>23</v>
      </c>
      <c r="G3" s="3">
        <f t="shared" ref="G3:G4" si="1">DATEDIF(D3,E3, "m")</f>
        <v>286</v>
      </c>
      <c r="H3" s="3">
        <f t="shared" ref="H3:H4" si="2">DATEDIF(D3,E3, "d")</f>
        <v>8721</v>
      </c>
      <c r="I3" s="3" t="str">
        <f t="shared" ref="I3:I5" si="3">DATEDIF(D3,E3,"Y")&amp;"years"&amp;DATEDIF(D3,E3,"Ym")&amp;"months"&amp;DATEDIF(D3,E3,"md")&amp;"days"</f>
        <v>23years10months16days</v>
      </c>
    </row>
    <row r="4" spans="1:10" x14ac:dyDescent="0.35">
      <c r="A4" s="3"/>
      <c r="B4" s="3"/>
      <c r="C4" s="3" t="s">
        <v>54</v>
      </c>
      <c r="D4" s="4">
        <v>37040</v>
      </c>
      <c r="E4" s="4">
        <v>44013</v>
      </c>
      <c r="F4" s="3">
        <f t="shared" si="0"/>
        <v>19</v>
      </c>
      <c r="G4" s="3">
        <f t="shared" si="1"/>
        <v>229</v>
      </c>
      <c r="H4" s="3">
        <f t="shared" si="2"/>
        <v>6973</v>
      </c>
      <c r="I4" s="3" t="str">
        <f t="shared" si="3"/>
        <v>19years1months2days</v>
      </c>
    </row>
    <row r="5" spans="1:10" x14ac:dyDescent="0.35">
      <c r="A5" s="3"/>
      <c r="B5" s="3"/>
      <c r="C5" s="3" t="s">
        <v>60</v>
      </c>
      <c r="D5" s="4">
        <v>37797</v>
      </c>
      <c r="E5" s="4">
        <v>46261</v>
      </c>
      <c r="F5" s="3"/>
      <c r="G5" s="3"/>
      <c r="H5" s="3"/>
      <c r="I5" s="3" t="str">
        <f t="shared" si="3"/>
        <v>23years2months2days</v>
      </c>
    </row>
    <row r="10" spans="1:10" x14ac:dyDescent="0.35">
      <c r="C10" s="13" t="s">
        <v>60</v>
      </c>
      <c r="D10" s="14">
        <v>37797</v>
      </c>
      <c r="E10" s="14">
        <v>46261</v>
      </c>
      <c r="F10" s="15" t="str">
        <f>DATEDIF(D10,E10,"Y")&amp;"years, "&amp;DATEDIF(D10,E10,"ym")&amp;" months , "&amp;DATEDIF(D10,E10,"MD")&amp;"days"</f>
        <v>23years, 2 months , 2days</v>
      </c>
      <c r="J10" t="s">
        <v>72</v>
      </c>
    </row>
    <row r="11" spans="1:10" x14ac:dyDescent="0.35">
      <c r="J11" t="s">
        <v>73</v>
      </c>
    </row>
    <row r="12" spans="1:10" x14ac:dyDescent="0.35">
      <c r="J12" t="s">
        <v>74</v>
      </c>
    </row>
    <row r="13" spans="1:10" x14ac:dyDescent="0.35">
      <c r="J13" t="s">
        <v>75</v>
      </c>
    </row>
    <row r="14" spans="1:10" x14ac:dyDescent="0.35">
      <c r="B14" s="8" t="s">
        <v>62</v>
      </c>
      <c r="C14" s="8" t="s">
        <v>67</v>
      </c>
      <c r="D14" s="8" t="s">
        <v>68</v>
      </c>
      <c r="E14" s="9" t="s">
        <v>69</v>
      </c>
      <c r="F14" s="9" t="s">
        <v>70</v>
      </c>
      <c r="G14" s="8" t="s">
        <v>71</v>
      </c>
      <c r="J14" t="s">
        <v>76</v>
      </c>
    </row>
    <row r="15" spans="1:10" x14ac:dyDescent="0.35">
      <c r="B15" s="10" t="s">
        <v>63</v>
      </c>
      <c r="C15" s="11">
        <v>46204</v>
      </c>
      <c r="D15" s="11">
        <v>46214</v>
      </c>
      <c r="E15" s="12">
        <f>DATEDIF(C15,D15, "D")</f>
        <v>10</v>
      </c>
      <c r="F15" s="12">
        <f>NETWORKDAYS(C15,D15)</f>
        <v>8</v>
      </c>
      <c r="G15" s="10">
        <f>NETWORKDAYS.INTL(C15,D15,11, D20:D21)</f>
        <v>10</v>
      </c>
    </row>
    <row r="16" spans="1:10" x14ac:dyDescent="0.35">
      <c r="B16" s="10" t="s">
        <v>64</v>
      </c>
      <c r="C16" s="11">
        <v>46215</v>
      </c>
      <c r="D16" s="11">
        <v>46229</v>
      </c>
      <c r="E16" s="12">
        <f t="shared" ref="E16:E18" si="4">DATEDIF(C16,D16, "D")</f>
        <v>14</v>
      </c>
      <c r="F16" s="12">
        <f>NETWORKDAYS(C16,D16,D20:D21)</f>
        <v>9</v>
      </c>
      <c r="G16" s="10">
        <f>NETWORKDAYS.INTL(C16,D16,11,D20:D21)</f>
        <v>11</v>
      </c>
    </row>
    <row r="17" spans="2:7" x14ac:dyDescent="0.35">
      <c r="B17" s="10" t="s">
        <v>65</v>
      </c>
      <c r="C17" s="11">
        <v>46230</v>
      </c>
      <c r="D17" s="11">
        <v>46244</v>
      </c>
      <c r="E17" s="12">
        <f>DATEDIF(C17,D17, "D")</f>
        <v>14</v>
      </c>
      <c r="F17" s="12">
        <f t="shared" ref="F17:F18" si="5">NETWORKDAYS(C17,D17,D21:D22)</f>
        <v>11</v>
      </c>
      <c r="G17" s="10">
        <f>NETWORKDAYS.INTL(C17,D17,11,D20:D21)</f>
        <v>13</v>
      </c>
    </row>
    <row r="18" spans="2:7" x14ac:dyDescent="0.35">
      <c r="B18" s="10" t="s">
        <v>66</v>
      </c>
      <c r="C18" s="11">
        <v>46245</v>
      </c>
      <c r="D18" s="11">
        <v>46254</v>
      </c>
      <c r="E18" s="12">
        <f t="shared" si="4"/>
        <v>9</v>
      </c>
      <c r="F18" s="12">
        <f t="shared" si="5"/>
        <v>8</v>
      </c>
      <c r="G18" s="10">
        <f>NETWORKDAYS.INTL(C18,D18,11,D20:D21)</f>
        <v>8</v>
      </c>
    </row>
    <row r="19" spans="2:7" x14ac:dyDescent="0.35">
      <c r="B19" s="10"/>
      <c r="C19" s="10"/>
      <c r="D19" s="10"/>
      <c r="E19" s="10"/>
      <c r="F19" s="10"/>
      <c r="G19" s="10"/>
    </row>
    <row r="20" spans="2:7" x14ac:dyDescent="0.35">
      <c r="B20" s="10"/>
      <c r="C20" s="10"/>
      <c r="D20" s="11">
        <v>46249</v>
      </c>
      <c r="E20" s="10"/>
      <c r="F20" s="10"/>
      <c r="G20" s="10"/>
    </row>
    <row r="21" spans="2:7" x14ac:dyDescent="0.35">
      <c r="B21" s="10"/>
      <c r="C21" s="10"/>
      <c r="D21" s="11">
        <v>46217</v>
      </c>
      <c r="E21" s="10"/>
      <c r="F21" s="10"/>
      <c r="G2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5ADF-3AED-4F55-86DC-051830DCF29E}">
  <dimension ref="A1:D21"/>
  <sheetViews>
    <sheetView workbookViewId="0">
      <selection activeCell="N11" sqref="N11"/>
    </sheetView>
  </sheetViews>
  <sheetFormatPr defaultRowHeight="14.5" x14ac:dyDescent="0.35"/>
  <cols>
    <col min="1" max="1" width="8.7265625" style="16"/>
    <col min="2" max="2" width="16.7265625" style="16" bestFit="1" customWidth="1"/>
    <col min="3" max="3" width="8.7265625" style="16"/>
  </cols>
  <sheetData>
    <row r="1" spans="1:4" x14ac:dyDescent="0.35">
      <c r="A1" s="17" t="s">
        <v>77</v>
      </c>
      <c r="B1" s="17" t="s">
        <v>78</v>
      </c>
      <c r="C1" s="17" t="s">
        <v>79</v>
      </c>
      <c r="D1" s="17" t="s">
        <v>80</v>
      </c>
    </row>
    <row r="2" spans="1:4" x14ac:dyDescent="0.35">
      <c r="A2" s="21" t="s">
        <v>81</v>
      </c>
      <c r="B2" s="21">
        <v>5000</v>
      </c>
      <c r="C2" s="21">
        <v>3000</v>
      </c>
      <c r="D2" s="22">
        <f>B2-C2</f>
        <v>2000</v>
      </c>
    </row>
    <row r="3" spans="1:4" x14ac:dyDescent="0.35">
      <c r="A3" s="21" t="s">
        <v>82</v>
      </c>
      <c r="B3" s="21">
        <v>6200</v>
      </c>
      <c r="C3" s="21">
        <v>2800</v>
      </c>
      <c r="D3" s="22">
        <f t="shared" ref="D3:D6" si="0">B3-C3</f>
        <v>3400</v>
      </c>
    </row>
    <row r="4" spans="1:4" x14ac:dyDescent="0.35">
      <c r="A4" s="21" t="s">
        <v>83</v>
      </c>
      <c r="B4" s="21">
        <v>4500</v>
      </c>
      <c r="C4" s="21">
        <v>3200</v>
      </c>
      <c r="D4" s="22">
        <f t="shared" si="0"/>
        <v>1300</v>
      </c>
    </row>
    <row r="5" spans="1:4" x14ac:dyDescent="0.35">
      <c r="A5" s="21" t="s">
        <v>84</v>
      </c>
      <c r="B5" s="21">
        <v>7100</v>
      </c>
      <c r="C5" s="21">
        <v>4000</v>
      </c>
      <c r="D5" s="22">
        <f t="shared" si="0"/>
        <v>3100</v>
      </c>
    </row>
    <row r="6" spans="1:4" x14ac:dyDescent="0.35">
      <c r="A6" s="21" t="s">
        <v>85</v>
      </c>
      <c r="B6" s="21">
        <v>5800</v>
      </c>
      <c r="C6" s="21">
        <v>3500</v>
      </c>
      <c r="D6" s="22">
        <f t="shared" si="0"/>
        <v>2300</v>
      </c>
    </row>
    <row r="9" spans="1:4" x14ac:dyDescent="0.35">
      <c r="B9" s="18" t="s">
        <v>86</v>
      </c>
      <c r="C9" s="20">
        <f>SUM(B2:B6)</f>
        <v>28600</v>
      </c>
    </row>
    <row r="10" spans="1:4" x14ac:dyDescent="0.35">
      <c r="B10" s="18" t="s">
        <v>87</v>
      </c>
      <c r="C10" s="20">
        <f>SUM(C2:C6)</f>
        <v>16500</v>
      </c>
    </row>
    <row r="11" spans="1:4" x14ac:dyDescent="0.35">
      <c r="B11" s="18" t="s">
        <v>88</v>
      </c>
      <c r="C11" s="20">
        <f>SUM(D2:D6)</f>
        <v>12100</v>
      </c>
    </row>
    <row r="12" spans="1:4" x14ac:dyDescent="0.35">
      <c r="B12" s="19" t="s">
        <v>89</v>
      </c>
      <c r="C12" s="20">
        <f>AVERAGE(D2:D6)</f>
        <v>2420</v>
      </c>
    </row>
    <row r="13" spans="1:4" x14ac:dyDescent="0.35">
      <c r="B13" s="19" t="s">
        <v>90</v>
      </c>
      <c r="C13" s="20">
        <f>_xlfn.STDEV.P(D2:D6)</f>
        <v>757.36384915045949</v>
      </c>
    </row>
    <row r="14" spans="1:4" x14ac:dyDescent="0.35">
      <c r="B14" s="19" t="s">
        <v>91</v>
      </c>
      <c r="C14" s="20">
        <f>AVERAGE(B2:B6)</f>
        <v>5720</v>
      </c>
    </row>
    <row r="15" spans="1:4" x14ac:dyDescent="0.35">
      <c r="B15" s="19" t="s">
        <v>92</v>
      </c>
      <c r="C15" s="20">
        <f>AVERAGE(C2:C6)</f>
        <v>3300</v>
      </c>
    </row>
    <row r="16" spans="1:4" x14ac:dyDescent="0.35">
      <c r="B16" s="19" t="s">
        <v>93</v>
      </c>
      <c r="C16" s="20">
        <f>MAX(B2:B6)</f>
        <v>7100</v>
      </c>
    </row>
    <row r="17" spans="2:3" x14ac:dyDescent="0.35">
      <c r="B17" s="19" t="s">
        <v>94</v>
      </c>
      <c r="C17" s="20">
        <f>MAX(D2:D6)</f>
        <v>3400</v>
      </c>
    </row>
    <row r="18" spans="2:3" x14ac:dyDescent="0.35">
      <c r="B18" s="19" t="s">
        <v>95</v>
      </c>
      <c r="C18" s="20">
        <f>MAX(C2:C6)</f>
        <v>4000</v>
      </c>
    </row>
    <row r="19" spans="2:3" x14ac:dyDescent="0.35">
      <c r="B19" s="19" t="s">
        <v>96</v>
      </c>
      <c r="C19" s="20">
        <f>MIN(B2:B6)</f>
        <v>4500</v>
      </c>
    </row>
    <row r="20" spans="2:3" x14ac:dyDescent="0.35">
      <c r="B20" s="19" t="s">
        <v>97</v>
      </c>
      <c r="C20" s="20">
        <f>MIN(C2:C6)</f>
        <v>2800</v>
      </c>
    </row>
    <row r="21" spans="2:3" x14ac:dyDescent="0.35">
      <c r="B21" s="19" t="s">
        <v>98</v>
      </c>
      <c r="C21" s="20">
        <f>MIN(D2:D6)</f>
        <v>1300</v>
      </c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711A-B569-45C3-B2EF-3F739568E4A4}">
  <dimension ref="A1:T21"/>
  <sheetViews>
    <sheetView workbookViewId="0">
      <selection activeCell="K5" sqref="K5"/>
    </sheetView>
  </sheetViews>
  <sheetFormatPr defaultRowHeight="14.5" x14ac:dyDescent="0.35"/>
  <cols>
    <col min="1" max="5" width="8.7265625" style="16"/>
    <col min="8" max="8" width="40.26953125" style="16" bestFit="1" customWidth="1"/>
    <col min="9" max="9" width="7.1796875" customWidth="1"/>
  </cols>
  <sheetData>
    <row r="1" spans="1:20" x14ac:dyDescent="0.35">
      <c r="A1" s="25" t="s">
        <v>77</v>
      </c>
      <c r="B1" s="25" t="s">
        <v>103</v>
      </c>
      <c r="C1" s="25" t="s">
        <v>104</v>
      </c>
      <c r="D1" s="25" t="s">
        <v>105</v>
      </c>
      <c r="E1" s="25" t="s">
        <v>106</v>
      </c>
      <c r="F1" s="30" t="s">
        <v>122</v>
      </c>
      <c r="G1" s="31" t="s">
        <v>123</v>
      </c>
      <c r="Q1" t="s">
        <v>121</v>
      </c>
      <c r="T1" t="s">
        <v>99</v>
      </c>
    </row>
    <row r="2" spans="1:20" x14ac:dyDescent="0.35">
      <c r="A2" s="27" t="s">
        <v>81</v>
      </c>
      <c r="B2" s="27" t="s">
        <v>107</v>
      </c>
      <c r="C2" s="27" t="s">
        <v>108</v>
      </c>
      <c r="D2" s="27">
        <v>120</v>
      </c>
      <c r="E2" s="26">
        <v>84000</v>
      </c>
      <c r="F2" s="24" t="str">
        <f>IF(E2&gt;50000,"high", "low")</f>
        <v>high</v>
      </c>
      <c r="G2" s="24" t="str">
        <f>IF(E2&gt;60000,"high",IF(E2&gt;40000,"medium","low"))</f>
        <v>high</v>
      </c>
      <c r="H2" s="28" t="s">
        <v>114</v>
      </c>
      <c r="I2" s="1"/>
      <c r="T2" t="s">
        <v>100</v>
      </c>
    </row>
    <row r="3" spans="1:20" x14ac:dyDescent="0.35">
      <c r="A3" s="27" t="s">
        <v>81</v>
      </c>
      <c r="B3" s="27" t="s">
        <v>109</v>
      </c>
      <c r="C3" s="27" t="s">
        <v>110</v>
      </c>
      <c r="D3" s="27">
        <v>200</v>
      </c>
      <c r="E3" s="26">
        <v>60000</v>
      </c>
      <c r="F3" s="24" t="str">
        <f t="shared" ref="F3:F11" si="0">IF(E3&gt;50000,"high", "low")</f>
        <v>high</v>
      </c>
      <c r="G3" s="24" t="str">
        <f t="shared" ref="G3:G11" si="1">IF(E3&gt;60000,"high",IF(E3&gt;40000,"medium","low"))</f>
        <v>medium</v>
      </c>
      <c r="H3" s="28">
        <f>COUNT(D2:D11)</f>
        <v>10</v>
      </c>
      <c r="T3" t="s">
        <v>101</v>
      </c>
    </row>
    <row r="4" spans="1:20" x14ac:dyDescent="0.35">
      <c r="A4" s="27" t="s">
        <v>82</v>
      </c>
      <c r="B4" s="27" t="s">
        <v>111</v>
      </c>
      <c r="C4" s="27" t="s">
        <v>112</v>
      </c>
      <c r="D4" s="27">
        <v>85</v>
      </c>
      <c r="E4" s="26">
        <v>25500</v>
      </c>
      <c r="F4" s="24" t="str">
        <f t="shared" si="0"/>
        <v>low</v>
      </c>
      <c r="G4" s="24" t="str">
        <f t="shared" si="1"/>
        <v>low</v>
      </c>
      <c r="H4" s="28">
        <f>COUNTA(A2:A11)</f>
        <v>10</v>
      </c>
      <c r="T4" t="s">
        <v>102</v>
      </c>
    </row>
    <row r="5" spans="1:20" x14ac:dyDescent="0.35">
      <c r="A5" s="27" t="s">
        <v>82</v>
      </c>
      <c r="B5" s="27" t="s">
        <v>107</v>
      </c>
      <c r="C5" s="27" t="s">
        <v>113</v>
      </c>
      <c r="D5" s="27">
        <v>95</v>
      </c>
      <c r="E5" s="26">
        <v>66500</v>
      </c>
      <c r="F5" s="24" t="str">
        <f t="shared" si="0"/>
        <v>high</v>
      </c>
      <c r="G5" s="24" t="str">
        <f t="shared" si="1"/>
        <v>high</v>
      </c>
      <c r="H5" s="28" t="s">
        <v>115</v>
      </c>
    </row>
    <row r="6" spans="1:20" x14ac:dyDescent="0.35">
      <c r="A6" s="27" t="s">
        <v>83</v>
      </c>
      <c r="B6" s="27" t="s">
        <v>109</v>
      </c>
      <c r="C6" s="27" t="s">
        <v>108</v>
      </c>
      <c r="D6" s="27">
        <v>180</v>
      </c>
      <c r="E6" s="26">
        <v>54000</v>
      </c>
      <c r="F6" s="24" t="str">
        <f t="shared" si="0"/>
        <v>high</v>
      </c>
      <c r="G6" s="24" t="str">
        <f t="shared" si="1"/>
        <v>medium</v>
      </c>
      <c r="H6" s="28">
        <f>COUNTA(B2:B11)</f>
        <v>10</v>
      </c>
    </row>
    <row r="7" spans="1:20" x14ac:dyDescent="0.35">
      <c r="A7" s="27" t="s">
        <v>83</v>
      </c>
      <c r="B7" s="27" t="s">
        <v>111</v>
      </c>
      <c r="C7" s="27" t="s">
        <v>110</v>
      </c>
      <c r="D7" s="27">
        <v>110</v>
      </c>
      <c r="E7" s="26">
        <v>33000</v>
      </c>
      <c r="F7" s="24" t="str">
        <f t="shared" si="0"/>
        <v>low</v>
      </c>
      <c r="G7" s="24" t="str">
        <f t="shared" si="1"/>
        <v>low</v>
      </c>
      <c r="H7" s="28"/>
    </row>
    <row r="8" spans="1:20" x14ac:dyDescent="0.35">
      <c r="A8" s="27" t="s">
        <v>84</v>
      </c>
      <c r="B8" s="27" t="s">
        <v>107</v>
      </c>
      <c r="C8" s="27" t="s">
        <v>112</v>
      </c>
      <c r="D8" s="27">
        <v>105</v>
      </c>
      <c r="E8" s="26">
        <v>73500</v>
      </c>
      <c r="F8" s="24" t="str">
        <f t="shared" si="0"/>
        <v>high</v>
      </c>
      <c r="G8" s="24" t="str">
        <f t="shared" si="1"/>
        <v>high</v>
      </c>
      <c r="H8" s="28" t="s">
        <v>116</v>
      </c>
    </row>
    <row r="9" spans="1:20" x14ac:dyDescent="0.35">
      <c r="A9" s="27" t="s">
        <v>84</v>
      </c>
      <c r="B9" s="27" t="s">
        <v>109</v>
      </c>
      <c r="C9" s="27" t="s">
        <v>113</v>
      </c>
      <c r="D9" s="27">
        <v>160</v>
      </c>
      <c r="E9" s="26">
        <v>48000</v>
      </c>
      <c r="F9" s="24" t="str">
        <f t="shared" si="0"/>
        <v>low</v>
      </c>
      <c r="G9" s="24" t="str">
        <f t="shared" si="1"/>
        <v>medium</v>
      </c>
      <c r="H9" s="29">
        <f>SUM(E2,E5,E8,E11)</f>
        <v>304500</v>
      </c>
    </row>
    <row r="10" spans="1:20" x14ac:dyDescent="0.35">
      <c r="A10" s="27" t="s">
        <v>85</v>
      </c>
      <c r="B10" s="27" t="s">
        <v>111</v>
      </c>
      <c r="C10" s="27" t="s">
        <v>108</v>
      </c>
      <c r="D10" s="27">
        <v>90</v>
      </c>
      <c r="E10" s="26">
        <v>27000</v>
      </c>
      <c r="F10" s="24" t="str">
        <f t="shared" si="0"/>
        <v>low</v>
      </c>
      <c r="G10" s="24" t="str">
        <f t="shared" si="1"/>
        <v>low</v>
      </c>
      <c r="H10" s="28">
        <f>SUMIF(B2:B11, "LAPTOP", E2:E11)</f>
        <v>304500</v>
      </c>
    </row>
    <row r="11" spans="1:20" x14ac:dyDescent="0.35">
      <c r="A11" s="27" t="s">
        <v>85</v>
      </c>
      <c r="B11" s="27" t="s">
        <v>107</v>
      </c>
      <c r="C11" s="27" t="s">
        <v>110</v>
      </c>
      <c r="D11" s="27">
        <v>115</v>
      </c>
      <c r="E11" s="26">
        <v>80500</v>
      </c>
      <c r="F11" s="24" t="str">
        <f t="shared" si="0"/>
        <v>high</v>
      </c>
      <c r="G11" s="24" t="str">
        <f t="shared" si="1"/>
        <v>high</v>
      </c>
      <c r="H11" s="28" t="s">
        <v>117</v>
      </c>
    </row>
    <row r="12" spans="1:20" x14ac:dyDescent="0.35">
      <c r="H12" s="28">
        <f>SUMIFS(D2:D11,B2:B11,  "phone", C2:C11, "east")</f>
        <v>180</v>
      </c>
    </row>
    <row r="13" spans="1:20" x14ac:dyDescent="0.35">
      <c r="H13" s="28"/>
    </row>
    <row r="14" spans="1:20" x14ac:dyDescent="0.35">
      <c r="A14" s="25" t="s">
        <v>127</v>
      </c>
      <c r="B14" s="25" t="s">
        <v>106</v>
      </c>
      <c r="C14" s="33" t="s">
        <v>106</v>
      </c>
      <c r="E14" s="25" t="s">
        <v>127</v>
      </c>
      <c r="F14" s="23" t="s">
        <v>128</v>
      </c>
      <c r="H14" s="28" t="s">
        <v>118</v>
      </c>
    </row>
    <row r="15" spans="1:20" x14ac:dyDescent="0.35">
      <c r="A15" s="32" t="s">
        <v>124</v>
      </c>
      <c r="B15" s="32">
        <f>SUMIF(B2:B11, "laptop", E2:E11)</f>
        <v>304500</v>
      </c>
      <c r="C15" s="34">
        <f>SUMIF($B$2:$B$11, A15, $E$2:$E$11)</f>
        <v>304500</v>
      </c>
      <c r="E15" s="32" t="s">
        <v>107</v>
      </c>
      <c r="F15" s="36">
        <f>SUMIF($B$2:$B$11, $E$15, $E$2:$E$11)</f>
        <v>304500</v>
      </c>
      <c r="H15" s="28">
        <f>COUNTIF(B2:B11, "tablet")</f>
        <v>3</v>
      </c>
    </row>
    <row r="16" spans="1:20" x14ac:dyDescent="0.35">
      <c r="A16" s="32" t="s">
        <v>126</v>
      </c>
      <c r="B16" s="32">
        <f>SUMIF(B2:B11, "tablet", E2:E12)</f>
        <v>85500</v>
      </c>
      <c r="C16" s="34">
        <f t="shared" ref="C16:C17" si="2">SUMIF($B$2:$B$11, A16, $E$2:$E$11)</f>
        <v>85500</v>
      </c>
      <c r="H16" s="28"/>
    </row>
    <row r="17" spans="1:8" x14ac:dyDescent="0.35">
      <c r="A17" s="32" t="s">
        <v>125</v>
      </c>
      <c r="B17" s="32">
        <f>SUMIF(B2:B11, "phone", E2:E12)</f>
        <v>162000</v>
      </c>
      <c r="C17" s="34">
        <f t="shared" si="2"/>
        <v>162000</v>
      </c>
      <c r="H17" s="28" t="s">
        <v>119</v>
      </c>
    </row>
    <row r="18" spans="1:8" x14ac:dyDescent="0.35">
      <c r="F18">
        <v>50</v>
      </c>
      <c r="H18" s="28">
        <f>COUNTIFS(B2:B11, "laptop", D2:D11, "&gt;100")</f>
        <v>3</v>
      </c>
    </row>
    <row r="19" spans="1:8" x14ac:dyDescent="0.35">
      <c r="E19" s="34">
        <v>150</v>
      </c>
      <c r="F19" s="35">
        <f>E19/$F$18</f>
        <v>3</v>
      </c>
      <c r="H19" s="28"/>
    </row>
    <row r="20" spans="1:8" x14ac:dyDescent="0.35">
      <c r="E20" s="34">
        <v>100</v>
      </c>
      <c r="F20" s="35">
        <f t="shared" ref="F20:F21" si="3">E20/$F$18</f>
        <v>2</v>
      </c>
      <c r="H20" s="28" t="s">
        <v>120</v>
      </c>
    </row>
    <row r="21" spans="1:8" x14ac:dyDescent="0.35">
      <c r="E21" s="34">
        <v>200</v>
      </c>
      <c r="F21" s="35">
        <f t="shared" si="3"/>
        <v>4</v>
      </c>
      <c r="H21" s="28">
        <f>AVERAGEIF(C2:C11, "east", E2:E11)</f>
        <v>55000</v>
      </c>
    </row>
  </sheetData>
  <dataValidations count="1">
    <dataValidation type="list" allowBlank="1" showInputMessage="1" showErrorMessage="1" sqref="E15" xr:uid="{9F3F4201-19B9-4913-8657-0C203AD6111B}">
      <formula1>$B$2:$B$11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5C52-B238-4616-88DD-A7DAAC76B3A0}">
  <dimension ref="A1:S12"/>
  <sheetViews>
    <sheetView workbookViewId="0">
      <selection activeCell="M3" sqref="M3"/>
    </sheetView>
  </sheetViews>
  <sheetFormatPr defaultRowHeight="14.5" x14ac:dyDescent="0.35"/>
  <cols>
    <col min="1" max="1" width="10.1796875" bestFit="1" customWidth="1"/>
    <col min="9" max="9" width="11.81640625" bestFit="1" customWidth="1"/>
    <col min="11" max="11" width="13.6328125" bestFit="1" customWidth="1"/>
    <col min="19" max="20" width="20.54296875" bestFit="1" customWidth="1"/>
  </cols>
  <sheetData>
    <row r="1" spans="1:19" x14ac:dyDescent="0.35">
      <c r="A1" s="52" t="s">
        <v>187</v>
      </c>
      <c r="B1" s="53" t="s">
        <v>160</v>
      </c>
      <c r="C1" s="53" t="s">
        <v>161</v>
      </c>
      <c r="D1" s="53" t="s">
        <v>60</v>
      </c>
      <c r="E1" s="53" t="s">
        <v>180</v>
      </c>
      <c r="F1" s="53" t="s">
        <v>181</v>
      </c>
      <c r="G1" s="53" t="s">
        <v>182</v>
      </c>
      <c r="H1" s="53" t="s">
        <v>183</v>
      </c>
      <c r="I1" s="53" t="s">
        <v>184</v>
      </c>
      <c r="J1" s="53" t="s">
        <v>185</v>
      </c>
      <c r="K1" s="53" t="s">
        <v>186</v>
      </c>
      <c r="O1" t="s">
        <v>152</v>
      </c>
    </row>
    <row r="2" spans="1:19" x14ac:dyDescent="0.35">
      <c r="A2" s="52" t="s">
        <v>175</v>
      </c>
      <c r="B2" s="53">
        <f ca="1">RANDBETWEEN(1,100)</f>
        <v>75</v>
      </c>
      <c r="C2" s="53">
        <f t="shared" ref="C2:K5" ca="1" si="0">RANDBETWEEN(1,100)</f>
        <v>70</v>
      </c>
      <c r="D2" s="53">
        <f t="shared" ca="1" si="0"/>
        <v>15</v>
      </c>
      <c r="E2" s="53">
        <f t="shared" ca="1" si="0"/>
        <v>95</v>
      </c>
      <c r="F2" s="53">
        <f t="shared" ca="1" si="0"/>
        <v>68</v>
      </c>
      <c r="G2" s="53">
        <f t="shared" ca="1" si="0"/>
        <v>34</v>
      </c>
      <c r="H2" s="53">
        <f t="shared" ca="1" si="0"/>
        <v>86</v>
      </c>
      <c r="I2" s="53">
        <f t="shared" ca="1" si="0"/>
        <v>58</v>
      </c>
      <c r="J2" s="53">
        <f t="shared" ca="1" si="0"/>
        <v>54</v>
      </c>
      <c r="K2" s="53">
        <f t="shared" ca="1" si="0"/>
        <v>31</v>
      </c>
      <c r="S2" t="s">
        <v>153</v>
      </c>
    </row>
    <row r="3" spans="1:19" x14ac:dyDescent="0.35">
      <c r="A3" s="52" t="s">
        <v>176</v>
      </c>
      <c r="B3" s="53">
        <f t="shared" ref="B3:B5" ca="1" si="1">RANDBETWEEN(1,100)</f>
        <v>90</v>
      </c>
      <c r="C3" s="53">
        <f t="shared" ca="1" si="0"/>
        <v>40</v>
      </c>
      <c r="D3" s="53">
        <f t="shared" ca="1" si="0"/>
        <v>22</v>
      </c>
      <c r="E3" s="53">
        <f t="shared" ca="1" si="0"/>
        <v>94</v>
      </c>
      <c r="F3" s="53">
        <f t="shared" ca="1" si="0"/>
        <v>43</v>
      </c>
      <c r="G3" s="53">
        <f t="shared" ca="1" si="0"/>
        <v>42</v>
      </c>
      <c r="H3" s="53">
        <f t="shared" ca="1" si="0"/>
        <v>71</v>
      </c>
      <c r="I3" s="53">
        <f t="shared" ca="1" si="0"/>
        <v>41</v>
      </c>
      <c r="J3" s="53">
        <f t="shared" ca="1" si="0"/>
        <v>7</v>
      </c>
      <c r="K3" s="53">
        <f t="shared" ca="1" si="0"/>
        <v>15</v>
      </c>
      <c r="S3" t="s">
        <v>154</v>
      </c>
    </row>
    <row r="4" spans="1:19" x14ac:dyDescent="0.35">
      <c r="A4" s="52" t="s">
        <v>177</v>
      </c>
      <c r="B4" s="53">
        <f t="shared" ca="1" si="1"/>
        <v>89</v>
      </c>
      <c r="C4" s="53">
        <f t="shared" ca="1" si="0"/>
        <v>77</v>
      </c>
      <c r="D4" s="53">
        <f t="shared" ca="1" si="0"/>
        <v>33</v>
      </c>
      <c r="E4" s="53">
        <f t="shared" ca="1" si="0"/>
        <v>71</v>
      </c>
      <c r="F4" s="53">
        <f t="shared" ca="1" si="0"/>
        <v>79</v>
      </c>
      <c r="G4" s="53">
        <f t="shared" ca="1" si="0"/>
        <v>27</v>
      </c>
      <c r="H4" s="53">
        <f t="shared" ca="1" si="0"/>
        <v>33</v>
      </c>
      <c r="I4" s="53">
        <f t="shared" ca="1" si="0"/>
        <v>83</v>
      </c>
      <c r="J4" s="53">
        <f t="shared" ca="1" si="0"/>
        <v>17</v>
      </c>
      <c r="K4" s="53">
        <f t="shared" ca="1" si="0"/>
        <v>75</v>
      </c>
      <c r="S4" t="s">
        <v>155</v>
      </c>
    </row>
    <row r="5" spans="1:19" x14ac:dyDescent="0.35">
      <c r="A5" s="52" t="s">
        <v>178</v>
      </c>
      <c r="B5" s="53">
        <f t="shared" ca="1" si="1"/>
        <v>86</v>
      </c>
      <c r="C5" s="53">
        <f t="shared" ca="1" si="0"/>
        <v>93</v>
      </c>
      <c r="D5" s="53">
        <f t="shared" ca="1" si="0"/>
        <v>93</v>
      </c>
      <c r="E5" s="53">
        <f t="shared" ca="1" si="0"/>
        <v>5</v>
      </c>
      <c r="F5" s="53">
        <f t="shared" ca="1" si="0"/>
        <v>34</v>
      </c>
      <c r="G5" s="53">
        <f t="shared" ca="1" si="0"/>
        <v>79</v>
      </c>
      <c r="H5" s="53">
        <f t="shared" ca="1" si="0"/>
        <v>67</v>
      </c>
      <c r="I5" s="53">
        <f t="shared" ca="1" si="0"/>
        <v>77</v>
      </c>
      <c r="J5" s="53">
        <f t="shared" ca="1" si="0"/>
        <v>88</v>
      </c>
      <c r="K5" s="53">
        <f t="shared" ca="1" si="0"/>
        <v>13</v>
      </c>
      <c r="S5" t="s">
        <v>156</v>
      </c>
    </row>
    <row r="6" spans="1:19" x14ac:dyDescent="0.35">
      <c r="A6" s="52" t="s">
        <v>179</v>
      </c>
      <c r="B6" s="53">
        <f ca="1">SUM(B2:B5)</f>
        <v>340</v>
      </c>
      <c r="C6" s="53">
        <f ca="1">SUM(C2:C5)</f>
        <v>280</v>
      </c>
      <c r="D6" s="53">
        <f t="shared" ref="D6:K6" ca="1" si="2">SUM(D2:D5)</f>
        <v>163</v>
      </c>
      <c r="E6" s="53">
        <f t="shared" ca="1" si="2"/>
        <v>265</v>
      </c>
      <c r="F6" s="53">
        <f t="shared" ca="1" si="2"/>
        <v>224</v>
      </c>
      <c r="G6" s="53">
        <f t="shared" ca="1" si="2"/>
        <v>182</v>
      </c>
      <c r="H6" s="53">
        <f t="shared" ca="1" si="2"/>
        <v>257</v>
      </c>
      <c r="I6" s="53">
        <f t="shared" ca="1" si="2"/>
        <v>259</v>
      </c>
      <c r="J6" s="53">
        <f t="shared" ca="1" si="2"/>
        <v>166</v>
      </c>
      <c r="K6" s="53">
        <f t="shared" ca="1" si="2"/>
        <v>134</v>
      </c>
      <c r="S6" t="s">
        <v>157</v>
      </c>
    </row>
    <row r="7" spans="1:19" x14ac:dyDescent="0.35">
      <c r="A7" s="52" t="s">
        <v>203</v>
      </c>
      <c r="B7" s="53">
        <f ca="1">B6/300*100</f>
        <v>113.33333333333333</v>
      </c>
      <c r="C7" s="53">
        <f t="shared" ref="C7:K7" ca="1" si="3">C6/300*100</f>
        <v>93.333333333333329</v>
      </c>
      <c r="D7" s="53">
        <f t="shared" ca="1" si="3"/>
        <v>54.333333333333336</v>
      </c>
      <c r="E7" s="53">
        <f t="shared" ca="1" si="3"/>
        <v>88.333333333333329</v>
      </c>
      <c r="F7" s="53">
        <f t="shared" ca="1" si="3"/>
        <v>74.666666666666671</v>
      </c>
      <c r="G7" s="53">
        <f t="shared" ca="1" si="3"/>
        <v>60.666666666666671</v>
      </c>
      <c r="H7" s="53">
        <f t="shared" ca="1" si="3"/>
        <v>85.666666666666671</v>
      </c>
      <c r="I7" s="53">
        <f t="shared" ca="1" si="3"/>
        <v>86.333333333333329</v>
      </c>
      <c r="J7" s="53">
        <f t="shared" ca="1" si="3"/>
        <v>55.333333333333336</v>
      </c>
      <c r="K7" s="53">
        <f t="shared" ca="1" si="3"/>
        <v>44.666666666666664</v>
      </c>
      <c r="S7" t="s">
        <v>158</v>
      </c>
    </row>
    <row r="10" spans="1:19" x14ac:dyDescent="0.35">
      <c r="B10" s="49" t="s">
        <v>204</v>
      </c>
      <c r="C10" s="49"/>
      <c r="E10" s="49" t="s">
        <v>154</v>
      </c>
      <c r="F10" s="49"/>
      <c r="H10" s="49" t="s">
        <v>154</v>
      </c>
      <c r="I10" s="49"/>
      <c r="K10" s="49" t="s">
        <v>233</v>
      </c>
      <c r="L10" s="49"/>
    </row>
    <row r="11" spans="1:19" x14ac:dyDescent="0.35">
      <c r="B11" s="49" t="s">
        <v>187</v>
      </c>
      <c r="C11" s="49" t="s">
        <v>205</v>
      </c>
      <c r="E11" s="49" t="s">
        <v>206</v>
      </c>
      <c r="F11" s="49" t="s">
        <v>201</v>
      </c>
      <c r="H11" s="49" t="s">
        <v>206</v>
      </c>
      <c r="I11" s="49" t="s">
        <v>201</v>
      </c>
      <c r="K11" s="49" t="s">
        <v>205</v>
      </c>
      <c r="L11" s="49" t="s">
        <v>187</v>
      </c>
    </row>
    <row r="12" spans="1:19" x14ac:dyDescent="0.35">
      <c r="B12" s="49" t="s">
        <v>60</v>
      </c>
      <c r="C12" s="49">
        <f ca="1">_xlfn.XLOOKUP(B12,A1:K1,A7:K7,"not found",0)</f>
        <v>54.333333333333336</v>
      </c>
      <c r="E12" s="49">
        <v>50</v>
      </c>
      <c r="F12" s="49" t="str">
        <f ca="1">_xlfn.XLOOKUP(E12,A7:K7,A1:K1, "NOT FOUND",1)</f>
        <v>Gayatri</v>
      </c>
      <c r="H12" s="49">
        <v>81</v>
      </c>
      <c r="I12" s="49" t="str">
        <f ca="1">_xlfn.XLOOKUP(H12,A7:K7,A1:K1,"NOT FOUND",0)</f>
        <v>NOT FOUND</v>
      </c>
      <c r="K12" s="49">
        <v>60</v>
      </c>
      <c r="L12" s="49" t="str">
        <f ca="1">IFERROR(HLOOKUP(K12,CHOOSE({1;2},B7:K7,B1:K1),2,0),"not found")</f>
        <v>not found</v>
      </c>
    </row>
  </sheetData>
  <dataValidations count="1">
    <dataValidation type="list" allowBlank="1" showInputMessage="1" showErrorMessage="1" sqref="B12" xr:uid="{63282DB3-3564-4FE1-A16E-C2F89E8CC1F5}">
      <formula1>$B$1:$K$1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0682-6010-4886-B9E1-2C13138AD32F}">
  <dimension ref="A1:P21"/>
  <sheetViews>
    <sheetView workbookViewId="0">
      <selection activeCell="K19" sqref="K19"/>
    </sheetView>
  </sheetViews>
  <sheetFormatPr defaultRowHeight="14.5" x14ac:dyDescent="0.35"/>
  <cols>
    <col min="2" max="2" width="10.1796875" style="16" bestFit="1" customWidth="1"/>
    <col min="3" max="3" width="10.81640625" style="16" bestFit="1" customWidth="1"/>
    <col min="4" max="5" width="8.7265625" style="16"/>
    <col min="6" max="6" width="9.81640625" style="16" bestFit="1" customWidth="1"/>
    <col min="9" max="9" width="10.81640625" bestFit="1" customWidth="1"/>
    <col min="10" max="10" width="9.7265625" bestFit="1" customWidth="1"/>
    <col min="15" max="15" width="10.81640625" bestFit="1" customWidth="1"/>
  </cols>
  <sheetData>
    <row r="1" spans="1:16" x14ac:dyDescent="0.35">
      <c r="A1" s="51" t="s">
        <v>190</v>
      </c>
      <c r="B1" s="46" t="s">
        <v>51</v>
      </c>
      <c r="C1" s="46" t="s">
        <v>169</v>
      </c>
      <c r="D1" s="46" t="s">
        <v>170</v>
      </c>
      <c r="E1" s="46" t="s">
        <v>171</v>
      </c>
      <c r="F1" s="46" t="s">
        <v>159</v>
      </c>
      <c r="H1" s="44" t="s">
        <v>172</v>
      </c>
      <c r="I1" s="44" t="s">
        <v>173</v>
      </c>
      <c r="J1" s="44" t="s">
        <v>174</v>
      </c>
    </row>
    <row r="2" spans="1:16" x14ac:dyDescent="0.35">
      <c r="A2" s="50" t="s">
        <v>191</v>
      </c>
      <c r="B2" s="47" t="s">
        <v>160</v>
      </c>
      <c r="C2" s="47">
        <v>9699357734</v>
      </c>
      <c r="D2" s="47">
        <v>57734</v>
      </c>
      <c r="E2" s="47">
        <v>10</v>
      </c>
      <c r="F2" s="47">
        <f>IFERROR(D2/E2, "NO BONUS")</f>
        <v>5773.4</v>
      </c>
      <c r="H2" s="44" t="s">
        <v>163</v>
      </c>
      <c r="I2" s="44">
        <f>IFERROR(VLOOKUP(H2,B1:F11,2,FALSE),"NO DATA FOUND")</f>
        <v>9022503499</v>
      </c>
      <c r="J2" s="44" t="str">
        <f>IFERROR(VLOOKUP(H2,B1:F11,5,FALSE),"NO DATA FOUND")</f>
        <v>NO BONUS</v>
      </c>
    </row>
    <row r="3" spans="1:16" x14ac:dyDescent="0.35">
      <c r="A3" s="50" t="s">
        <v>192</v>
      </c>
      <c r="B3" s="47" t="s">
        <v>161</v>
      </c>
      <c r="C3" s="47">
        <v>9325408450</v>
      </c>
      <c r="D3" s="47">
        <v>8450</v>
      </c>
      <c r="E3" s="47">
        <v>0</v>
      </c>
      <c r="F3" s="47" t="str">
        <f t="shared" ref="F3:F11" si="0">IFERROR(D3/E3, "NO BONUS")</f>
        <v>NO BONUS</v>
      </c>
    </row>
    <row r="4" spans="1:16" x14ac:dyDescent="0.35">
      <c r="A4" s="50" t="s">
        <v>193</v>
      </c>
      <c r="B4" s="47" t="s">
        <v>60</v>
      </c>
      <c r="C4" s="47">
        <v>9404268548</v>
      </c>
      <c r="D4" s="47">
        <v>68548</v>
      </c>
      <c r="E4" s="47">
        <v>10</v>
      </c>
      <c r="F4" s="47">
        <f t="shared" si="0"/>
        <v>6854.8</v>
      </c>
    </row>
    <row r="5" spans="1:16" x14ac:dyDescent="0.35">
      <c r="A5" s="50" t="s">
        <v>194</v>
      </c>
      <c r="B5" s="47" t="s">
        <v>162</v>
      </c>
      <c r="C5" s="47">
        <v>8055090520</v>
      </c>
      <c r="D5" s="47">
        <v>90520</v>
      </c>
      <c r="E5" s="47">
        <v>10</v>
      </c>
      <c r="F5" s="47">
        <f t="shared" si="0"/>
        <v>9052</v>
      </c>
    </row>
    <row r="6" spans="1:16" x14ac:dyDescent="0.35">
      <c r="A6" s="50" t="s">
        <v>195</v>
      </c>
      <c r="B6" s="47" t="s">
        <v>163</v>
      </c>
      <c r="C6" s="47">
        <v>9022503499</v>
      </c>
      <c r="D6" s="47">
        <v>3499</v>
      </c>
      <c r="E6" s="47">
        <v>0</v>
      </c>
      <c r="F6" s="47" t="str">
        <f t="shared" si="0"/>
        <v>NO BONUS</v>
      </c>
      <c r="H6" s="45" t="s">
        <v>188</v>
      </c>
    </row>
    <row r="7" spans="1:16" x14ac:dyDescent="0.35">
      <c r="A7" s="50" t="s">
        <v>196</v>
      </c>
      <c r="B7" s="47" t="s">
        <v>164</v>
      </c>
      <c r="C7" s="47">
        <v>7887477923</v>
      </c>
      <c r="D7" s="47">
        <v>77923</v>
      </c>
      <c r="E7" s="47">
        <v>0</v>
      </c>
      <c r="F7" s="47" t="str">
        <f t="shared" si="0"/>
        <v>NO BONUS</v>
      </c>
    </row>
    <row r="8" spans="1:16" x14ac:dyDescent="0.35">
      <c r="A8" s="50" t="s">
        <v>197</v>
      </c>
      <c r="B8" s="47" t="s">
        <v>165</v>
      </c>
      <c r="C8" s="47">
        <v>9021683583</v>
      </c>
      <c r="D8" s="47">
        <v>83583</v>
      </c>
      <c r="E8" s="47">
        <v>0</v>
      </c>
      <c r="F8" s="47" t="str">
        <f t="shared" si="0"/>
        <v>NO BONUS</v>
      </c>
      <c r="O8" s="49">
        <v>9052</v>
      </c>
      <c r="P8" s="49" t="str">
        <f>VLOOKUP(O8,CHOOSE({1,2},F:F,B:B),2,0)</f>
        <v>Khushbu</v>
      </c>
    </row>
    <row r="9" spans="1:16" x14ac:dyDescent="0.35">
      <c r="A9" s="50" t="s">
        <v>198</v>
      </c>
      <c r="B9" s="47" t="s">
        <v>166</v>
      </c>
      <c r="C9" s="47">
        <v>8010074187</v>
      </c>
      <c r="D9" s="47">
        <v>74187</v>
      </c>
      <c r="E9" s="47">
        <v>0</v>
      </c>
      <c r="F9" s="47" t="str">
        <f t="shared" si="0"/>
        <v>NO BONUS</v>
      </c>
      <c r="O9" s="48">
        <v>8010074187</v>
      </c>
      <c r="P9" s="49" t="str">
        <f>_xlfn.XLOOKUP(O9,C2:C11,B2:B11,"NOT FOUND")</f>
        <v>Padmaja</v>
      </c>
    </row>
    <row r="10" spans="1:16" x14ac:dyDescent="0.35">
      <c r="A10" s="50" t="s">
        <v>199</v>
      </c>
      <c r="B10" s="47" t="s">
        <v>167</v>
      </c>
      <c r="C10" s="47">
        <v>9834872918</v>
      </c>
      <c r="D10" s="47">
        <v>72918</v>
      </c>
      <c r="E10" s="47">
        <v>10</v>
      </c>
      <c r="F10" s="47">
        <f t="shared" si="0"/>
        <v>7291.8</v>
      </c>
    </row>
    <row r="11" spans="1:16" x14ac:dyDescent="0.35">
      <c r="A11" s="50" t="s">
        <v>200</v>
      </c>
      <c r="B11" s="47" t="s">
        <v>168</v>
      </c>
      <c r="C11" s="47">
        <v>9623681222</v>
      </c>
      <c r="D11" s="47">
        <v>81222</v>
      </c>
      <c r="E11" s="47">
        <v>10</v>
      </c>
      <c r="F11" s="47">
        <f t="shared" si="0"/>
        <v>8122.2</v>
      </c>
    </row>
    <row r="13" spans="1:16" x14ac:dyDescent="0.35">
      <c r="J13" s="49" t="s">
        <v>155</v>
      </c>
      <c r="K13" s="49"/>
      <c r="M13" s="49" t="s">
        <v>202</v>
      </c>
      <c r="N13" s="49"/>
    </row>
    <row r="14" spans="1:16" x14ac:dyDescent="0.35">
      <c r="B14"/>
      <c r="C14"/>
      <c r="D14"/>
      <c r="E14"/>
      <c r="F14"/>
      <c r="J14" s="49" t="s">
        <v>190</v>
      </c>
      <c r="K14" s="49" t="s">
        <v>193</v>
      </c>
      <c r="M14" s="49" t="s">
        <v>159</v>
      </c>
      <c r="N14" s="49">
        <v>6854.8</v>
      </c>
    </row>
    <row r="15" spans="1:16" x14ac:dyDescent="0.35">
      <c r="B15"/>
      <c r="C15"/>
      <c r="D15"/>
      <c r="E15"/>
      <c r="F15"/>
      <c r="J15" s="49" t="s">
        <v>201</v>
      </c>
      <c r="K15" s="49" t="str">
        <f>_xlfn.XLOOKUP(K14,A1:A11, B1:B11, "NOT FOUND",0)</f>
        <v>Gayatri</v>
      </c>
      <c r="M15" s="49" t="s">
        <v>51</v>
      </c>
      <c r="N15" s="49" t="str">
        <f>_xlfn.XLOOKUP(N14,F1:F11,B1:B11, "not found",0)</f>
        <v>Gayatri</v>
      </c>
    </row>
    <row r="16" spans="1:16" x14ac:dyDescent="0.35">
      <c r="B16"/>
      <c r="C16"/>
      <c r="D16"/>
      <c r="E16"/>
      <c r="F16"/>
    </row>
    <row r="17" spans="2:11" x14ac:dyDescent="0.35">
      <c r="B17" t="s">
        <v>189</v>
      </c>
      <c r="C17"/>
      <c r="D17"/>
      <c r="E17"/>
      <c r="F17"/>
    </row>
    <row r="18" spans="2:11" x14ac:dyDescent="0.35">
      <c r="B18"/>
      <c r="C18"/>
      <c r="D18"/>
      <c r="E18"/>
      <c r="F18"/>
      <c r="J18" s="49" t="s">
        <v>190</v>
      </c>
      <c r="K18" s="49" t="s">
        <v>207</v>
      </c>
    </row>
    <row r="19" spans="2:11" x14ac:dyDescent="0.35">
      <c r="B19"/>
      <c r="C19"/>
      <c r="D19"/>
      <c r="E19"/>
      <c r="F19"/>
      <c r="J19" s="49" t="s">
        <v>191</v>
      </c>
      <c r="K19" s="49">
        <f>_xlfn.XLOOKUP(J19,$A$1:$A$11,$D$1:$D$11,"NO RESULT",0)</f>
        <v>57734</v>
      </c>
    </row>
    <row r="20" spans="2:11" x14ac:dyDescent="0.35">
      <c r="J20" s="49" t="s">
        <v>192</v>
      </c>
      <c r="K20" s="49">
        <f t="shared" ref="K20:K21" si="1">_xlfn.XLOOKUP(J20,$A$1:$A$11,$D$1:$D$11,"NO RESULT",0)</f>
        <v>8450</v>
      </c>
    </row>
    <row r="21" spans="2:11" x14ac:dyDescent="0.35">
      <c r="J21" s="49" t="s">
        <v>193</v>
      </c>
      <c r="K21" s="49">
        <f t="shared" si="1"/>
        <v>68548</v>
      </c>
    </row>
  </sheetData>
  <phoneticPr fontId="3" type="noConversion"/>
  <dataValidations count="1">
    <dataValidation type="list" allowBlank="1" showInputMessage="1" showErrorMessage="1" sqref="H2" xr:uid="{7387765D-49E6-4C56-BBDE-0F6B4D0EECF5}">
      <formula1>$B$2:$B$11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09CF-ACBD-475D-9D88-4E6184C57972}">
  <dimension ref="B2:I23"/>
  <sheetViews>
    <sheetView showGridLines="0" zoomScaleNormal="100" workbookViewId="0">
      <selection activeCell="L11" sqref="L11"/>
    </sheetView>
  </sheetViews>
  <sheetFormatPr defaultRowHeight="14.5" x14ac:dyDescent="0.35"/>
  <cols>
    <col min="2" max="2" width="8.7265625" style="16"/>
    <col min="3" max="3" width="12" style="16" bestFit="1" customWidth="1"/>
    <col min="4" max="6" width="8.7265625" style="16"/>
    <col min="7" max="7" width="9.81640625" style="16" bestFit="1" customWidth="1"/>
    <col min="9" max="9" width="39.54296875" bestFit="1" customWidth="1"/>
  </cols>
  <sheetData>
    <row r="2" spans="2:9" x14ac:dyDescent="0.35">
      <c r="B2" s="9" t="s">
        <v>129</v>
      </c>
      <c r="C2" s="9" t="s">
        <v>103</v>
      </c>
      <c r="D2" s="9" t="s">
        <v>104</v>
      </c>
      <c r="E2" s="9" t="s">
        <v>130</v>
      </c>
      <c r="F2" s="9" t="s">
        <v>131</v>
      </c>
      <c r="G2" s="9" t="s">
        <v>132</v>
      </c>
    </row>
    <row r="3" spans="2:9" x14ac:dyDescent="0.35">
      <c r="B3" s="40">
        <v>1001</v>
      </c>
      <c r="C3" s="40" t="s">
        <v>107</v>
      </c>
      <c r="D3" s="40" t="s">
        <v>108</v>
      </c>
      <c r="E3" s="40">
        <v>5</v>
      </c>
      <c r="F3" s="40">
        <v>800</v>
      </c>
      <c r="G3" s="40">
        <v>4000</v>
      </c>
      <c r="I3" s="37" t="s">
        <v>143</v>
      </c>
    </row>
    <row r="4" spans="2:9" x14ac:dyDescent="0.35">
      <c r="B4" s="40">
        <v>1002</v>
      </c>
      <c r="C4" s="40" t="s">
        <v>133</v>
      </c>
      <c r="D4" s="40" t="s">
        <v>110</v>
      </c>
      <c r="E4" s="40">
        <v>10</v>
      </c>
      <c r="F4" s="40">
        <v>20</v>
      </c>
      <c r="G4" s="40">
        <v>200</v>
      </c>
      <c r="I4" s="43">
        <f>SUMIF(D3:D14, "east", G3:G14)</f>
        <v>4690</v>
      </c>
    </row>
    <row r="5" spans="2:9" x14ac:dyDescent="0.35">
      <c r="B5" s="40">
        <v>1003</v>
      </c>
      <c r="C5" s="40" t="s">
        <v>134</v>
      </c>
      <c r="D5" s="40" t="s">
        <v>112</v>
      </c>
      <c r="E5" s="40">
        <v>8</v>
      </c>
      <c r="F5" s="40">
        <v>50</v>
      </c>
      <c r="G5" s="40">
        <v>400</v>
      </c>
    </row>
    <row r="6" spans="2:9" x14ac:dyDescent="0.35">
      <c r="B6" s="40">
        <v>1004</v>
      </c>
      <c r="C6" s="40" t="s">
        <v>135</v>
      </c>
      <c r="D6" s="40" t="s">
        <v>113</v>
      </c>
      <c r="E6" s="40">
        <v>3</v>
      </c>
      <c r="F6" s="40">
        <v>200</v>
      </c>
      <c r="G6" s="40">
        <v>600</v>
      </c>
      <c r="I6" s="37" t="s">
        <v>144</v>
      </c>
    </row>
    <row r="7" spans="2:9" x14ac:dyDescent="0.35">
      <c r="B7" s="40">
        <v>1005</v>
      </c>
      <c r="C7" s="40" t="s">
        <v>136</v>
      </c>
      <c r="D7" s="40" t="s">
        <v>108</v>
      </c>
      <c r="E7" s="40">
        <v>15</v>
      </c>
      <c r="F7" s="40">
        <v>30</v>
      </c>
      <c r="G7" s="40">
        <v>450</v>
      </c>
      <c r="I7" s="42">
        <f>SUMIFS(G3:G14, C3:C14, "keyboard", E3:E14, "&gt;5")</f>
        <v>400</v>
      </c>
    </row>
    <row r="8" spans="2:9" x14ac:dyDescent="0.35">
      <c r="B8" s="40">
        <v>1006</v>
      </c>
      <c r="C8" s="40" t="s">
        <v>137</v>
      </c>
      <c r="D8" s="40" t="s">
        <v>110</v>
      </c>
      <c r="E8" s="40">
        <v>2</v>
      </c>
      <c r="F8" s="40">
        <v>150</v>
      </c>
      <c r="G8" s="40">
        <v>300</v>
      </c>
    </row>
    <row r="9" spans="2:9" x14ac:dyDescent="0.35">
      <c r="B9" s="40">
        <v>1007</v>
      </c>
      <c r="C9" s="40" t="s">
        <v>138</v>
      </c>
      <c r="D9" s="40" t="s">
        <v>112</v>
      </c>
      <c r="E9" s="40">
        <v>20</v>
      </c>
      <c r="F9" s="40">
        <v>10</v>
      </c>
      <c r="G9" s="40">
        <v>200</v>
      </c>
      <c r="I9" s="37" t="s">
        <v>145</v>
      </c>
    </row>
    <row r="10" spans="2:9" x14ac:dyDescent="0.35">
      <c r="B10" s="40">
        <v>1008</v>
      </c>
      <c r="C10" s="40" t="s">
        <v>139</v>
      </c>
      <c r="D10" s="40" t="s">
        <v>113</v>
      </c>
      <c r="E10" s="40">
        <v>7</v>
      </c>
      <c r="F10" s="40">
        <v>100</v>
      </c>
      <c r="G10" s="40">
        <v>700</v>
      </c>
      <c r="I10" s="42">
        <f>COUNTIF(G3:G14,"&gt;500")</f>
        <v>4</v>
      </c>
    </row>
    <row r="11" spans="2:9" x14ac:dyDescent="0.35">
      <c r="B11" s="40">
        <v>1009</v>
      </c>
      <c r="C11" s="40" t="s">
        <v>140</v>
      </c>
      <c r="D11" s="40" t="s">
        <v>108</v>
      </c>
      <c r="E11" s="40">
        <v>4</v>
      </c>
      <c r="F11" s="40">
        <v>60</v>
      </c>
      <c r="G11" s="40">
        <v>240</v>
      </c>
    </row>
    <row r="12" spans="2:9" x14ac:dyDescent="0.35">
      <c r="B12" s="40">
        <v>1010</v>
      </c>
      <c r="C12" s="40" t="s">
        <v>141</v>
      </c>
      <c r="D12" s="40" t="s">
        <v>110</v>
      </c>
      <c r="E12" s="40">
        <v>6</v>
      </c>
      <c r="F12" s="40">
        <v>70</v>
      </c>
      <c r="G12" s="40">
        <v>420</v>
      </c>
      <c r="I12" s="37" t="s">
        <v>146</v>
      </c>
    </row>
    <row r="13" spans="2:9" x14ac:dyDescent="0.35">
      <c r="B13" s="40">
        <v>1011</v>
      </c>
      <c r="C13" s="40" t="s">
        <v>111</v>
      </c>
      <c r="D13" s="40" t="s">
        <v>112</v>
      </c>
      <c r="E13" s="40">
        <v>9</v>
      </c>
      <c r="F13" s="40">
        <v>250</v>
      </c>
      <c r="G13" s="40">
        <v>2250</v>
      </c>
      <c r="I13" s="42">
        <f>COUNTIFS(D3:D14, "west", E3:E14, "&gt;5")</f>
        <v>2</v>
      </c>
    </row>
    <row r="14" spans="2:9" x14ac:dyDescent="0.35">
      <c r="B14" s="40">
        <v>1012</v>
      </c>
      <c r="C14" s="40" t="s">
        <v>142</v>
      </c>
      <c r="D14" s="40" t="s">
        <v>113</v>
      </c>
      <c r="E14" s="40">
        <v>12</v>
      </c>
      <c r="F14" s="40">
        <v>40</v>
      </c>
      <c r="G14" s="40">
        <v>480</v>
      </c>
    </row>
    <row r="17" spans="2:8" x14ac:dyDescent="0.35">
      <c r="B17" s="38"/>
      <c r="C17" s="38"/>
      <c r="D17" s="38"/>
      <c r="E17" s="38" t="s">
        <v>147</v>
      </c>
      <c r="F17" s="38"/>
      <c r="G17" s="38"/>
      <c r="H17" s="37"/>
    </row>
    <row r="19" spans="2:8" x14ac:dyDescent="0.35">
      <c r="C19" s="9" t="s">
        <v>150</v>
      </c>
      <c r="D19" s="9" t="s">
        <v>148</v>
      </c>
    </row>
    <row r="20" spans="2:8" x14ac:dyDescent="0.35">
      <c r="C20" s="39" t="s">
        <v>107</v>
      </c>
      <c r="D20" s="39">
        <f>AVERAGEIF(C3:C14, "laptop", G3:G14)</f>
        <v>4000</v>
      </c>
    </row>
    <row r="21" spans="2:8" x14ac:dyDescent="0.35">
      <c r="C21" s="39" t="s">
        <v>149</v>
      </c>
      <c r="D21" s="39">
        <f>AVERAGEIF(C3:C14, "monitor", G3:G14)</f>
        <v>600</v>
      </c>
    </row>
    <row r="22" spans="2:8" x14ac:dyDescent="0.35">
      <c r="C22" s="39" t="s">
        <v>111</v>
      </c>
      <c r="D22" s="39">
        <f>AVERAGEIF(C3:C14, "tablet", G3:G14)</f>
        <v>2250</v>
      </c>
    </row>
    <row r="23" spans="2:8" x14ac:dyDescent="0.35">
      <c r="C23" s="41" t="s">
        <v>151</v>
      </c>
      <c r="D23" s="41">
        <f>AVERAGE(D20:D22)</f>
        <v>2283.3333333333335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D606-B2A0-4759-B371-82A663F2DE1D}">
  <dimension ref="A1:Q17"/>
  <sheetViews>
    <sheetView tabSelected="1" workbookViewId="0">
      <selection activeCell="E1" sqref="E1"/>
    </sheetView>
  </sheetViews>
  <sheetFormatPr defaultRowHeight="14.5" x14ac:dyDescent="0.35"/>
  <cols>
    <col min="8" max="8" width="11.90625" bestFit="1" customWidth="1"/>
    <col min="11" max="11" width="10.6328125" bestFit="1" customWidth="1"/>
    <col min="15" max="15" width="10.6328125" bestFit="1" customWidth="1"/>
  </cols>
  <sheetData>
    <row r="1" spans="1:17" x14ac:dyDescent="0.35">
      <c r="A1" s="54" t="s">
        <v>208</v>
      </c>
      <c r="B1" s="54" t="s">
        <v>51</v>
      </c>
      <c r="C1" s="54" t="s">
        <v>209</v>
      </c>
      <c r="D1" s="54" t="s">
        <v>210</v>
      </c>
      <c r="E1" s="54" t="s">
        <v>211</v>
      </c>
      <c r="F1" s="54" t="s">
        <v>212</v>
      </c>
      <c r="H1" s="55" t="s">
        <v>223</v>
      </c>
    </row>
    <row r="2" spans="1:17" x14ac:dyDescent="0.35">
      <c r="A2" s="39">
        <v>1</v>
      </c>
      <c r="B2" s="39" t="s">
        <v>213</v>
      </c>
      <c r="C2" s="39">
        <v>45</v>
      </c>
      <c r="D2" s="39">
        <v>62</v>
      </c>
      <c r="E2" s="39">
        <v>100</v>
      </c>
      <c r="F2" s="39">
        <v>99</v>
      </c>
      <c r="H2" s="56" t="s">
        <v>224</v>
      </c>
      <c r="I2" s="56" t="s">
        <v>225</v>
      </c>
      <c r="K2" s="56" t="s">
        <v>226</v>
      </c>
      <c r="L2" s="56">
        <v>10</v>
      </c>
      <c r="M2" s="56">
        <v>6</v>
      </c>
      <c r="O2" s="56" t="s">
        <v>226</v>
      </c>
      <c r="P2" s="56">
        <v>4</v>
      </c>
      <c r="Q2" s="56">
        <v>8</v>
      </c>
    </row>
    <row r="3" spans="1:17" x14ac:dyDescent="0.35">
      <c r="A3" s="39">
        <v>2</v>
      </c>
      <c r="B3" s="39" t="s">
        <v>214</v>
      </c>
      <c r="C3" s="39">
        <v>30</v>
      </c>
      <c r="D3" s="39">
        <v>90</v>
      </c>
      <c r="E3" s="39">
        <v>66</v>
      </c>
      <c r="F3" s="39">
        <v>72</v>
      </c>
      <c r="H3" s="56">
        <v>4</v>
      </c>
      <c r="I3" s="39">
        <v>5</v>
      </c>
      <c r="K3" s="56" t="s">
        <v>187</v>
      </c>
      <c r="L3" s="56" t="str" cm="1">
        <f t="array" ref="L3">INDEX($B$1:$B$11,L2)</f>
        <v>Enoch</v>
      </c>
      <c r="M3" s="56" t="str" cm="1">
        <f t="array" ref="M3">INDEX($B$1:$B$11,M2)</f>
        <v>Chase</v>
      </c>
      <c r="O3" s="56" t="s">
        <v>187</v>
      </c>
      <c r="P3" s="56" t="str" cm="1">
        <f t="array" ref="P3">INDEX(B1:B11,P2)</f>
        <v>Aubrey</v>
      </c>
      <c r="Q3" s="56" t="str" cm="1">
        <f t="array" ref="Q3">INDEX(B1:B11,Q2)</f>
        <v>Curt</v>
      </c>
    </row>
    <row r="4" spans="1:17" x14ac:dyDescent="0.35">
      <c r="A4" s="39">
        <v>3</v>
      </c>
      <c r="B4" s="39" t="s">
        <v>215</v>
      </c>
      <c r="C4" s="39">
        <v>99</v>
      </c>
      <c r="D4" s="39">
        <v>70</v>
      </c>
      <c r="E4" s="39">
        <v>51</v>
      </c>
      <c r="F4" s="39">
        <v>80</v>
      </c>
      <c r="H4" s="56" cm="1">
        <f t="array" ref="H4">INDEX(A1:F11,$L$2,H3)</f>
        <v>35</v>
      </c>
      <c r="I4" s="56" cm="1">
        <f t="array" ref="I4">INDEX(A1:F11,$L$2,I3)</f>
        <v>51</v>
      </c>
    </row>
    <row r="5" spans="1:17" x14ac:dyDescent="0.35">
      <c r="A5" s="39">
        <v>4</v>
      </c>
      <c r="B5" s="39" t="s">
        <v>216</v>
      </c>
      <c r="C5" s="39">
        <v>82</v>
      </c>
      <c r="D5" s="39">
        <v>52</v>
      </c>
      <c r="E5" s="39">
        <v>74</v>
      </c>
      <c r="F5" s="39">
        <v>66</v>
      </c>
      <c r="H5" s="56" cm="1">
        <f t="array" ref="H5">INDEX(A1:F11,$M$2,H3)</f>
        <v>96</v>
      </c>
      <c r="I5" s="56" cm="1">
        <f t="array" ref="I5">INDEX(A1:F11,M2,I3)</f>
        <v>90</v>
      </c>
    </row>
    <row r="6" spans="1:17" x14ac:dyDescent="0.35">
      <c r="A6" s="39">
        <v>5</v>
      </c>
      <c r="B6" s="39" t="s">
        <v>217</v>
      </c>
      <c r="C6" s="39">
        <v>92</v>
      </c>
      <c r="D6" s="39">
        <v>96</v>
      </c>
      <c r="E6" s="39">
        <v>90</v>
      </c>
      <c r="F6" s="39">
        <v>58</v>
      </c>
    </row>
    <row r="7" spans="1:17" x14ac:dyDescent="0.35">
      <c r="A7" s="39">
        <v>6</v>
      </c>
      <c r="B7" s="39" t="s">
        <v>218</v>
      </c>
      <c r="C7" s="39">
        <v>38</v>
      </c>
      <c r="D7" s="39">
        <v>43</v>
      </c>
      <c r="E7" s="39">
        <v>52</v>
      </c>
      <c r="F7" s="39">
        <v>97</v>
      </c>
      <c r="H7" s="56" t="s">
        <v>187</v>
      </c>
      <c r="I7" s="56" t="s">
        <v>219</v>
      </c>
      <c r="K7" s="57" t="s">
        <v>227</v>
      </c>
      <c r="L7" s="57">
        <v>76</v>
      </c>
    </row>
    <row r="8" spans="1:17" x14ac:dyDescent="0.35">
      <c r="A8" s="39">
        <v>7</v>
      </c>
      <c r="B8" s="39" t="s">
        <v>219</v>
      </c>
      <c r="C8" s="39">
        <v>59</v>
      </c>
      <c r="D8" s="39">
        <v>76</v>
      </c>
      <c r="E8" s="39">
        <v>72</v>
      </c>
      <c r="F8" s="39">
        <v>50</v>
      </c>
      <c r="H8" s="56" t="s">
        <v>223</v>
      </c>
      <c r="I8" s="56">
        <f>MATCH(I7,B1:B11,0)</f>
        <v>8</v>
      </c>
      <c r="K8" s="57" t="s">
        <v>228</v>
      </c>
      <c r="L8" s="57">
        <f>MATCH(L7,A8:F8,0)</f>
        <v>4</v>
      </c>
    </row>
    <row r="9" spans="1:17" x14ac:dyDescent="0.35">
      <c r="A9" s="39">
        <v>8</v>
      </c>
      <c r="B9" s="39" t="s">
        <v>220</v>
      </c>
      <c r="C9" s="39">
        <v>50</v>
      </c>
      <c r="D9" s="39">
        <v>37</v>
      </c>
      <c r="E9" s="39">
        <v>30</v>
      </c>
      <c r="F9" s="39">
        <v>31</v>
      </c>
    </row>
    <row r="10" spans="1:17" x14ac:dyDescent="0.35">
      <c r="A10" s="39">
        <v>9</v>
      </c>
      <c r="B10" s="39" t="s">
        <v>221</v>
      </c>
      <c r="C10" s="39">
        <v>34</v>
      </c>
      <c r="D10" s="39">
        <v>35</v>
      </c>
      <c r="E10" s="39">
        <v>51</v>
      </c>
      <c r="F10" s="39">
        <v>32</v>
      </c>
    </row>
    <row r="11" spans="1:17" x14ac:dyDescent="0.35">
      <c r="A11" s="39">
        <v>10</v>
      </c>
      <c r="B11" s="39" t="s">
        <v>222</v>
      </c>
      <c r="C11" s="39">
        <v>45</v>
      </c>
      <c r="D11" s="39">
        <v>77</v>
      </c>
      <c r="E11" s="39">
        <v>32</v>
      </c>
      <c r="F11" s="39">
        <v>87</v>
      </c>
    </row>
    <row r="12" spans="1:17" x14ac:dyDescent="0.35">
      <c r="H12" s="56" t="s">
        <v>229</v>
      </c>
      <c r="I12" s="56" t="s">
        <v>221</v>
      </c>
    </row>
    <row r="13" spans="1:17" x14ac:dyDescent="0.35">
      <c r="A13" t="s">
        <v>156</v>
      </c>
      <c r="H13" s="56" t="s">
        <v>230</v>
      </c>
      <c r="I13" s="56"/>
    </row>
    <row r="14" spans="1:17" x14ac:dyDescent="0.35">
      <c r="H14" s="56" t="s">
        <v>231</v>
      </c>
      <c r="I14" s="56">
        <f>INDEX($A$1:$F$11,MATCH($I$12,$B$1:$B$11,0),MATCH(H14,$A$1:$F$1,0))</f>
        <v>34</v>
      </c>
    </row>
    <row r="15" spans="1:17" x14ac:dyDescent="0.35">
      <c r="H15" s="56" t="s">
        <v>224</v>
      </c>
      <c r="I15" s="56">
        <f t="shared" ref="I15:I17" si="0">INDEX($A$1:$F$11,MATCH($I$12,$B$1:$B$11,0),MATCH(H15,$A$1:$F$1,0))</f>
        <v>35</v>
      </c>
    </row>
    <row r="16" spans="1:17" x14ac:dyDescent="0.35">
      <c r="H16" s="56" t="s">
        <v>225</v>
      </c>
      <c r="I16" s="56">
        <f t="shared" si="0"/>
        <v>51</v>
      </c>
    </row>
    <row r="17" spans="8:9" x14ac:dyDescent="0.35">
      <c r="H17" s="56" t="s">
        <v>232</v>
      </c>
      <c r="I17" s="56">
        <f t="shared" si="0"/>
        <v>32</v>
      </c>
    </row>
  </sheetData>
  <dataValidations count="1">
    <dataValidation type="list" allowBlank="1" showInputMessage="1" showErrorMessage="1" sqref="I7 I12" xr:uid="{2A00FAA1-3E0F-4657-9221-E42B341D3CAA}">
      <formula1>$B$2:$B$11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Date &amp; Time</vt:lpstr>
      <vt:lpstr>Data aggregation</vt:lpstr>
      <vt:lpstr>math and stat function</vt:lpstr>
      <vt:lpstr>Sheet3</vt:lpstr>
      <vt:lpstr>LOOKUP FUNCTION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Shinde</dc:creator>
  <cp:lastModifiedBy>Gayatri Shinde</cp:lastModifiedBy>
  <cp:lastPrinted>2026-08-31T01:47:30Z</cp:lastPrinted>
  <dcterms:created xsi:type="dcterms:W3CDTF">2026-08-25T19:35:42Z</dcterms:created>
  <dcterms:modified xsi:type="dcterms:W3CDTF">2026-09-03T18:53:36Z</dcterms:modified>
</cp:coreProperties>
</file>