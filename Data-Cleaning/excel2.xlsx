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8C46E19384ADC2/Documents/"/>
    </mc:Choice>
  </mc:AlternateContent>
  <xr:revisionPtr revIDLastSave="159" documentId="8_{7C3CA381-510C-4EB6-9653-3EDFF1E35D37}" xr6:coauthVersionLast="47" xr6:coauthVersionMax="47" xr10:uidLastSave="{F8FAABC2-8640-4AF8-9634-B2823D9867DC}"/>
  <bookViews>
    <workbookView xWindow="-110" yWindow="-110" windowWidth="19420" windowHeight="11500" activeTab="1" xr2:uid="{3163DE93-A551-41AD-AAF5-D3C0EB694DBC}"/>
  </bookViews>
  <sheets>
    <sheet name="Conditional Formatting" sheetId="1" r:id="rId1"/>
    <sheet name="CONDITIONAL FORMATTING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M5" i="1"/>
</calcChain>
</file>

<file path=xl/sharedStrings.xml><?xml version="1.0" encoding="utf-8"?>
<sst xmlns="http://schemas.openxmlformats.org/spreadsheetml/2006/main" count="327" uniqueCount="162">
  <si>
    <t>Row ID</t>
  </si>
  <si>
    <t>Order Date</t>
  </si>
  <si>
    <t>Country</t>
  </si>
  <si>
    <t>Sub-Category</t>
  </si>
  <si>
    <t>Category</t>
  </si>
  <si>
    <t>Sales</t>
  </si>
  <si>
    <t>Mexico</t>
  </si>
  <si>
    <t>Labels</t>
  </si>
  <si>
    <t>Office Supplies</t>
  </si>
  <si>
    <t>10/15/2015</t>
  </si>
  <si>
    <t>Colombia</t>
  </si>
  <si>
    <t>Furnishings</t>
  </si>
  <si>
    <t>Furniture</t>
  </si>
  <si>
    <t>Bookcases</t>
  </si>
  <si>
    <t>Binders</t>
  </si>
  <si>
    <t>Art</t>
  </si>
  <si>
    <t>Envelopes</t>
  </si>
  <si>
    <t>9/27/2016</t>
  </si>
  <si>
    <t>Brazil</t>
  </si>
  <si>
    <t>Machines</t>
  </si>
  <si>
    <t>Technology</t>
  </si>
  <si>
    <t>Supplies</t>
  </si>
  <si>
    <t>Accessories</t>
  </si>
  <si>
    <t>Quantity</t>
  </si>
  <si>
    <t>Discount</t>
  </si>
  <si>
    <t>Profit</t>
  </si>
  <si>
    <t>Shipping Cost</t>
  </si>
  <si>
    <t>Nicaragua</t>
  </si>
  <si>
    <t>Fasteners</t>
  </si>
  <si>
    <t>Chairs</t>
  </si>
  <si>
    <t>9/24/2017</t>
  </si>
  <si>
    <t>10/18/2017</t>
  </si>
  <si>
    <t>6/26/2016</t>
  </si>
  <si>
    <t>Panama</t>
  </si>
  <si>
    <t>12/19/2016</t>
  </si>
  <si>
    <t>10/29/2016</t>
  </si>
  <si>
    <t>Chile</t>
  </si>
  <si>
    <t>9/26/2015</t>
  </si>
  <si>
    <t>6/18/2017</t>
  </si>
  <si>
    <t>Copiers</t>
  </si>
  <si>
    <t>Storage</t>
  </si>
  <si>
    <t>5/24/2016</t>
  </si>
  <si>
    <t>Honduras</t>
  </si>
  <si>
    <t>Phones</t>
  </si>
  <si>
    <t>shift+direction arrow</t>
  </si>
  <si>
    <t>shift+ctrl+direction arrow</t>
  </si>
  <si>
    <t>ctrl+direction arrow</t>
  </si>
  <si>
    <t>max</t>
  </si>
  <si>
    <t>min_cost</t>
  </si>
  <si>
    <t>bottom 10</t>
  </si>
  <si>
    <t>top 10%</t>
  </si>
  <si>
    <t>Practice Dataset: Regional Sales Team Performance (Q1–Q2 2026)</t>
  </si>
  <si>
    <t>EmpID</t>
  </si>
  <si>
    <t>Employee Name</t>
  </si>
  <si>
    <t>Department</t>
  </si>
  <si>
    <t>Region</t>
  </si>
  <si>
    <t>Join Date</t>
  </si>
  <si>
    <t>Units Sold</t>
  </si>
  <si>
    <t>Sales Revenue ($)</t>
  </si>
  <si>
    <t>Target ($)</t>
  </si>
  <si>
    <t>Customer Rating (1-5)</t>
  </si>
  <si>
    <t>Status</t>
  </si>
  <si>
    <t>E1001</t>
  </si>
  <si>
    <t>Ishaan Nair</t>
  </si>
  <si>
    <t>East</t>
  </si>
  <si>
    <t>2023-04-05</t>
  </si>
  <si>
    <t>On Leave</t>
  </si>
  <si>
    <t>E1002</t>
  </si>
  <si>
    <t>Tara Verma</t>
  </si>
  <si>
    <t>North</t>
  </si>
  <si>
    <t>2023-04-17</t>
  </si>
  <si>
    <t>E1003</t>
  </si>
  <si>
    <t>Tara Reddy</t>
  </si>
  <si>
    <t>Retail</t>
  </si>
  <si>
    <t>Central</t>
  </si>
  <si>
    <t>2024-01-25</t>
  </si>
  <si>
    <t>Active</t>
  </si>
  <si>
    <t>E1004</t>
  </si>
  <si>
    <t>Isha Patel</t>
  </si>
  <si>
    <t>2024-06-20</t>
  </si>
  <si>
    <t>E1005</t>
  </si>
  <si>
    <t>Rohan Desai</t>
  </si>
  <si>
    <t>2024-10-07</t>
  </si>
  <si>
    <t>E1006</t>
  </si>
  <si>
    <t>Zara Reddy</t>
  </si>
  <si>
    <t>West</t>
  </si>
  <si>
    <t>2024-08-21</t>
  </si>
  <si>
    <t>Probation</t>
  </si>
  <si>
    <t>E1007</t>
  </si>
  <si>
    <t>Lavanya Patel</t>
  </si>
  <si>
    <t>Corporate</t>
  </si>
  <si>
    <t>South</t>
  </si>
  <si>
    <t>2026-12-08</t>
  </si>
  <si>
    <t>E1008</t>
  </si>
  <si>
    <t>Riya Reddy</t>
  </si>
  <si>
    <t>2023-01-26</t>
  </si>
  <si>
    <t>E1009</t>
  </si>
  <si>
    <t>Om Joshi</t>
  </si>
  <si>
    <t>2025-11-15</t>
  </si>
  <si>
    <t>E1010</t>
  </si>
  <si>
    <t>Sneha Bhat</t>
  </si>
  <si>
    <t>2025-06-08</t>
  </si>
  <si>
    <t>E1011</t>
  </si>
  <si>
    <t>2022-07-13</t>
  </si>
  <si>
    <t>E1012</t>
  </si>
  <si>
    <t>Kavya Nair</t>
  </si>
  <si>
    <t>2024-02-10</t>
  </si>
  <si>
    <t>E1013</t>
  </si>
  <si>
    <t>Sahil Pillai</t>
  </si>
  <si>
    <t>2022-11-10</t>
  </si>
  <si>
    <t>E1014</t>
  </si>
  <si>
    <t>Riya Pillai</t>
  </si>
  <si>
    <t>2024-08-01</t>
  </si>
  <si>
    <t>E1015</t>
  </si>
  <si>
    <t>Ananya Verma</t>
  </si>
  <si>
    <t>2022-02-24</t>
  </si>
  <si>
    <t>E1016</t>
  </si>
  <si>
    <t>Karan Malhotra</t>
  </si>
  <si>
    <t>2024-09-28</t>
  </si>
  <si>
    <t>E1017</t>
  </si>
  <si>
    <t>Rahul Khan</t>
  </si>
  <si>
    <t>2024-08-17</t>
  </si>
  <si>
    <t>E1018</t>
  </si>
  <si>
    <t>Aarav Patel</t>
  </si>
  <si>
    <t>2022-01-28</t>
  </si>
  <si>
    <t>E1019</t>
  </si>
  <si>
    <t>Riya Gupta</t>
  </si>
  <si>
    <t>2025-04-26</t>
  </si>
  <si>
    <t>E1020</t>
  </si>
  <si>
    <t>Neha Bose</t>
  </si>
  <si>
    <t>2022-11-21</t>
  </si>
  <si>
    <t>E1021</t>
  </si>
  <si>
    <t>Ananya Khan</t>
  </si>
  <si>
    <t>2025-03-14</t>
  </si>
  <si>
    <t>E1022</t>
  </si>
  <si>
    <t>Aisha Desai</t>
  </si>
  <si>
    <t>2026-01-03</t>
  </si>
  <si>
    <t>E1023</t>
  </si>
  <si>
    <t>2025-01-13</t>
  </si>
  <si>
    <t>E1024</t>
  </si>
  <si>
    <t>Sneha Desai</t>
  </si>
  <si>
    <t>2023-05-07</t>
  </si>
  <si>
    <t>E1025</t>
  </si>
  <si>
    <t>Diya Bhat</t>
  </si>
  <si>
    <t>2026-03-02</t>
  </si>
  <si>
    <t>E1026</t>
  </si>
  <si>
    <t>Om Bhat</t>
  </si>
  <si>
    <t>2026-01-20</t>
  </si>
  <si>
    <t>E1027</t>
  </si>
  <si>
    <t>Vivaan Joshi</t>
  </si>
  <si>
    <t>2025-03-22</t>
  </si>
  <si>
    <t>E1028</t>
  </si>
  <si>
    <t>Aarav Chatterjee</t>
  </si>
  <si>
    <t>2022-02-18</t>
  </si>
  <si>
    <t>E1029</t>
  </si>
  <si>
    <t>Om Reddy</t>
  </si>
  <si>
    <t>2023-08-27</t>
  </si>
  <si>
    <t>E1030</t>
  </si>
  <si>
    <t>Devansh Sharma</t>
  </si>
  <si>
    <t>2022-03-09</t>
  </si>
  <si>
    <t>Q.3. On employee name apply duplicate values highlighting to spot repeated names in the dataset</t>
  </si>
  <si>
    <t xml:space="preserve">seperately add data bars to 'sales revenue' so revenue can be compared visually across all employees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</si>
</sst>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name val="Arial"/>
      <family val="2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2F5597"/>
      </patternFill>
    </fill>
    <fill>
      <patternFill patternType="solid">
        <fgColor rgb="FF2F5597"/>
        <bgColor rgb="FF1F3864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4" fillId="3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/>
    </xf>
    <xf numFmtId="0" fontId="5" fillId="4" borderId="1" xfId="1" applyFont="1" applyFill="1" applyBorder="1"/>
    <xf numFmtId="164" fontId="5" fillId="4" borderId="1" xfId="1" applyNumberFormat="1" applyFont="1" applyFill="1" applyBorder="1"/>
    <xf numFmtId="165" fontId="5" fillId="4" borderId="1" xfId="1" applyNumberFormat="1" applyFont="1" applyFill="1" applyBorder="1"/>
    <xf numFmtId="0" fontId="5" fillId="0" borderId="1" xfId="1" applyFont="1" applyBorder="1" applyAlignment="1">
      <alignment horizontal="center"/>
    </xf>
    <xf numFmtId="0" fontId="5" fillId="0" borderId="1" xfId="1" applyFont="1" applyBorder="1"/>
    <xf numFmtId="164" fontId="5" fillId="0" borderId="1" xfId="1" applyNumberFormat="1" applyFont="1" applyBorder="1"/>
    <xf numFmtId="165" fontId="5" fillId="0" borderId="1" xfId="1" applyNumberFormat="1" applyFont="1" applyBorder="1"/>
    <xf numFmtId="0" fontId="1" fillId="0" borderId="0" xfId="0" applyFont="1"/>
    <xf numFmtId="0" fontId="1" fillId="0" borderId="0" xfId="0" quotePrefix="1" applyFont="1"/>
    <xf numFmtId="0" fontId="3" fillId="2" borderId="0" xfId="1" applyFont="1" applyFill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/>
    </xf>
  </cellXfs>
  <cellStyles count="2">
    <cellStyle name="Normal" xfId="0" builtinId="0"/>
    <cellStyle name="Normal 2" xfId="1" xr:uid="{41F6C704-5C04-42ED-B945-67CCA4D50116}"/>
  </cellStyles>
  <dxfs count="21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-0.24994659260841701"/>
        </patternFill>
      </fill>
    </dxf>
    <dxf>
      <font>
        <color theme="8" tint="-0.499984740745262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5E51F-84A2-417F-8C9F-4D0F71F8C5AE}">
  <dimension ref="A1:V31"/>
  <sheetViews>
    <sheetView zoomScale="77" zoomScaleNormal="77" workbookViewId="0">
      <selection sqref="A1:J31"/>
    </sheetView>
  </sheetViews>
  <sheetFormatPr defaultRowHeight="14.5" x14ac:dyDescent="0.35"/>
  <cols>
    <col min="2" max="2" width="10.90625" bestFit="1" customWidth="1"/>
    <col min="3" max="3" width="9.08984375" bestFit="1" customWidth="1"/>
    <col min="4" max="4" width="11.7265625" bestFit="1" customWidth="1"/>
    <col min="5" max="5" width="13.7265625" bestFit="1" customWidth="1"/>
    <col min="6" max="6" width="9.81640625" bestFit="1" customWidth="1"/>
    <col min="7" max="7" width="7.7265625" bestFit="1" customWidth="1"/>
    <col min="8" max="8" width="8.08984375" bestFit="1" customWidth="1"/>
    <col min="9" max="9" width="13.08984375" customWidth="1"/>
    <col min="10" max="10" width="11.81640625" bestFit="1" customWidth="1"/>
    <col min="12" max="12" width="9.453125" bestFit="1" customWidth="1"/>
    <col min="22" max="22" width="21.726562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22" x14ac:dyDescent="0.35">
      <c r="A2" s="1">
        <v>25</v>
      </c>
      <c r="B2" s="1" t="s">
        <v>37</v>
      </c>
      <c r="C2" s="1" t="s">
        <v>6</v>
      </c>
      <c r="D2" s="1" t="s">
        <v>11</v>
      </c>
      <c r="E2" s="1" t="s">
        <v>12</v>
      </c>
      <c r="F2" s="1">
        <v>181.11600000000001</v>
      </c>
      <c r="G2" s="1">
        <v>9</v>
      </c>
      <c r="H2" s="1">
        <v>0.4</v>
      </c>
      <c r="I2" s="1">
        <v>-75.563999999999993</v>
      </c>
      <c r="J2" s="1">
        <v>1.085</v>
      </c>
      <c r="V2" t="s">
        <v>44</v>
      </c>
    </row>
    <row r="3" spans="1:22" x14ac:dyDescent="0.35">
      <c r="A3" s="1">
        <v>29</v>
      </c>
      <c r="B3" s="1" t="s">
        <v>41</v>
      </c>
      <c r="C3" s="1" t="s">
        <v>42</v>
      </c>
      <c r="D3" s="1" t="s">
        <v>28</v>
      </c>
      <c r="E3" s="1" t="s">
        <v>8</v>
      </c>
      <c r="F3" s="1">
        <v>21.84</v>
      </c>
      <c r="G3" s="1">
        <v>4</v>
      </c>
      <c r="H3" s="1">
        <v>0.4</v>
      </c>
      <c r="I3" s="1">
        <v>-3.28</v>
      </c>
      <c r="J3" s="1">
        <v>1.091</v>
      </c>
      <c r="V3" t="s">
        <v>45</v>
      </c>
    </row>
    <row r="4" spans="1:22" x14ac:dyDescent="0.35">
      <c r="A4" s="1">
        <v>11</v>
      </c>
      <c r="B4" s="1" t="s">
        <v>17</v>
      </c>
      <c r="C4" s="1" t="s">
        <v>18</v>
      </c>
      <c r="D4" s="1" t="s">
        <v>14</v>
      </c>
      <c r="E4" s="1" t="s">
        <v>8</v>
      </c>
      <c r="F4" s="1">
        <v>12.06</v>
      </c>
      <c r="G4" s="1">
        <v>3</v>
      </c>
      <c r="H4" s="1">
        <v>0</v>
      </c>
      <c r="I4" s="1">
        <v>3.48</v>
      </c>
      <c r="J4" s="1">
        <v>1.1339999999999999</v>
      </c>
      <c r="V4" t="s">
        <v>46</v>
      </c>
    </row>
    <row r="5" spans="1:22" x14ac:dyDescent="0.35">
      <c r="A5" s="1">
        <v>4</v>
      </c>
      <c r="B5" s="1" t="s">
        <v>9</v>
      </c>
      <c r="C5" s="1" t="s">
        <v>10</v>
      </c>
      <c r="D5" s="1" t="s">
        <v>14</v>
      </c>
      <c r="E5" s="1" t="s">
        <v>8</v>
      </c>
      <c r="F5" s="1">
        <v>35.44</v>
      </c>
      <c r="G5" s="1">
        <v>4</v>
      </c>
      <c r="H5" s="1">
        <v>0</v>
      </c>
      <c r="I5" s="1">
        <v>4.96</v>
      </c>
      <c r="J5" s="1">
        <v>1.371</v>
      </c>
      <c r="L5" t="s">
        <v>47</v>
      </c>
      <c r="M5">
        <f>MAX(J2:J31)</f>
        <v>48.164999999999999</v>
      </c>
    </row>
    <row r="6" spans="1:22" x14ac:dyDescent="0.35">
      <c r="A6" s="1">
        <v>20</v>
      </c>
      <c r="B6" s="1" t="s">
        <v>32</v>
      </c>
      <c r="C6" s="1" t="s">
        <v>33</v>
      </c>
      <c r="D6" s="1" t="s">
        <v>16</v>
      </c>
      <c r="E6" s="1" t="s">
        <v>8</v>
      </c>
      <c r="F6" s="1">
        <v>8.7840000000000007</v>
      </c>
      <c r="G6" s="1">
        <v>3</v>
      </c>
      <c r="H6" s="1">
        <v>0.4</v>
      </c>
      <c r="I6" s="1">
        <v>-4.8360000000000003</v>
      </c>
      <c r="J6" s="1">
        <v>1.38</v>
      </c>
      <c r="L6" t="s">
        <v>48</v>
      </c>
      <c r="M6">
        <f>MIN(J2:J31)</f>
        <v>1.085</v>
      </c>
    </row>
    <row r="7" spans="1:22" x14ac:dyDescent="0.35">
      <c r="A7" s="1">
        <v>16</v>
      </c>
      <c r="B7" s="1" t="s">
        <v>31</v>
      </c>
      <c r="C7" s="1" t="s">
        <v>18</v>
      </c>
      <c r="D7" s="1" t="s">
        <v>28</v>
      </c>
      <c r="E7" s="1" t="s">
        <v>8</v>
      </c>
      <c r="F7" s="1">
        <v>12.94</v>
      </c>
      <c r="G7" s="1">
        <v>1</v>
      </c>
      <c r="H7" s="1">
        <v>0</v>
      </c>
      <c r="I7" s="1">
        <v>1.02</v>
      </c>
      <c r="J7" s="1">
        <v>1.464</v>
      </c>
      <c r="L7" t="s">
        <v>49</v>
      </c>
    </row>
    <row r="8" spans="1:22" x14ac:dyDescent="0.35">
      <c r="A8" s="1">
        <v>17</v>
      </c>
      <c r="B8" s="1" t="s">
        <v>32</v>
      </c>
      <c r="C8" s="1" t="s">
        <v>33</v>
      </c>
      <c r="D8" s="1" t="s">
        <v>16</v>
      </c>
      <c r="E8" s="1" t="s">
        <v>8</v>
      </c>
      <c r="F8" s="1">
        <v>18.84</v>
      </c>
      <c r="G8" s="1">
        <v>2</v>
      </c>
      <c r="H8" s="1">
        <v>0.4</v>
      </c>
      <c r="I8" s="1">
        <v>-6.6</v>
      </c>
      <c r="J8" s="1">
        <v>1.6020000000000001</v>
      </c>
      <c r="L8" t="s">
        <v>50</v>
      </c>
    </row>
    <row r="9" spans="1:22" x14ac:dyDescent="0.35">
      <c r="A9" s="1">
        <v>12</v>
      </c>
      <c r="B9" s="2">
        <v>42493</v>
      </c>
      <c r="C9" s="1" t="s">
        <v>27</v>
      </c>
      <c r="D9" s="1" t="s">
        <v>28</v>
      </c>
      <c r="E9" s="1" t="s">
        <v>8</v>
      </c>
      <c r="F9" s="1">
        <v>20.76</v>
      </c>
      <c r="G9" s="1">
        <v>3</v>
      </c>
      <c r="H9" s="1">
        <v>0</v>
      </c>
      <c r="I9" s="1">
        <v>9.5399999999999991</v>
      </c>
      <c r="J9" s="1">
        <v>1.649</v>
      </c>
    </row>
    <row r="10" spans="1:22" x14ac:dyDescent="0.35">
      <c r="A10" s="1">
        <v>1</v>
      </c>
      <c r="B10" s="2">
        <v>42776</v>
      </c>
      <c r="C10" s="1" t="s">
        <v>6</v>
      </c>
      <c r="D10" s="1" t="s">
        <v>7</v>
      </c>
      <c r="E10" s="1" t="s">
        <v>8</v>
      </c>
      <c r="F10" s="1">
        <v>13.08</v>
      </c>
      <c r="G10" s="1">
        <v>3</v>
      </c>
      <c r="H10" s="1">
        <v>0</v>
      </c>
      <c r="I10" s="1">
        <v>4.5599999999999996</v>
      </c>
      <c r="J10" s="1">
        <v>2.0329999999999999</v>
      </c>
    </row>
    <row r="11" spans="1:22" x14ac:dyDescent="0.35">
      <c r="A11" s="1">
        <v>19</v>
      </c>
      <c r="B11" s="1" t="s">
        <v>32</v>
      </c>
      <c r="C11" s="1" t="s">
        <v>33</v>
      </c>
      <c r="D11" s="1" t="s">
        <v>16</v>
      </c>
      <c r="E11" s="1" t="s">
        <v>8</v>
      </c>
      <c r="F11" s="1">
        <v>40.176000000000002</v>
      </c>
      <c r="G11" s="1">
        <v>2</v>
      </c>
      <c r="H11" s="1">
        <v>0.4</v>
      </c>
      <c r="I11" s="1">
        <v>-6.0640000000000001</v>
      </c>
      <c r="J11" s="1">
        <v>2.137</v>
      </c>
      <c r="U11" t="s">
        <v>18</v>
      </c>
    </row>
    <row r="12" spans="1:22" x14ac:dyDescent="0.35">
      <c r="A12" s="1">
        <v>5</v>
      </c>
      <c r="B12" s="1" t="s">
        <v>9</v>
      </c>
      <c r="C12" s="1" t="s">
        <v>10</v>
      </c>
      <c r="D12" s="1" t="s">
        <v>15</v>
      </c>
      <c r="E12" s="1" t="s">
        <v>8</v>
      </c>
      <c r="F12" s="1">
        <v>71.599999999999994</v>
      </c>
      <c r="G12" s="1">
        <v>2</v>
      </c>
      <c r="H12" s="1">
        <v>0</v>
      </c>
      <c r="I12" s="1">
        <v>11.44</v>
      </c>
      <c r="J12" s="1">
        <v>3.7869999999999999</v>
      </c>
    </row>
    <row r="13" spans="1:22" x14ac:dyDescent="0.35">
      <c r="A13" s="1">
        <v>22</v>
      </c>
      <c r="B13" s="1" t="s">
        <v>35</v>
      </c>
      <c r="C13" s="1" t="s">
        <v>36</v>
      </c>
      <c r="D13" s="1" t="s">
        <v>22</v>
      </c>
      <c r="E13" s="1" t="s">
        <v>20</v>
      </c>
      <c r="F13" s="1">
        <v>27</v>
      </c>
      <c r="G13" s="1">
        <v>1</v>
      </c>
      <c r="H13" s="1">
        <v>0</v>
      </c>
      <c r="I13" s="1">
        <v>5.94</v>
      </c>
      <c r="J13" s="1">
        <v>3.895</v>
      </c>
    </row>
    <row r="14" spans="1:22" x14ac:dyDescent="0.35">
      <c r="A14" s="1">
        <v>24</v>
      </c>
      <c r="B14" s="2">
        <v>42804</v>
      </c>
      <c r="C14" s="1" t="s">
        <v>33</v>
      </c>
      <c r="D14" s="1" t="s">
        <v>14</v>
      </c>
      <c r="E14" s="1" t="s">
        <v>8</v>
      </c>
      <c r="F14" s="1">
        <v>60.66</v>
      </c>
      <c r="G14" s="1">
        <v>3</v>
      </c>
      <c r="H14" s="1">
        <v>0.4</v>
      </c>
      <c r="I14" s="1">
        <v>-20.22</v>
      </c>
      <c r="J14" s="1">
        <v>4</v>
      </c>
    </row>
    <row r="15" spans="1:22" x14ac:dyDescent="0.35">
      <c r="A15" s="1">
        <v>7</v>
      </c>
      <c r="B15" s="1" t="s">
        <v>17</v>
      </c>
      <c r="C15" s="1" t="s">
        <v>18</v>
      </c>
      <c r="D15" s="1" t="s">
        <v>16</v>
      </c>
      <c r="E15" s="1" t="s">
        <v>8</v>
      </c>
      <c r="F15" s="1">
        <v>56.12</v>
      </c>
      <c r="G15" s="1">
        <v>2</v>
      </c>
      <c r="H15" s="1">
        <v>0</v>
      </c>
      <c r="I15" s="1">
        <v>21.32</v>
      </c>
      <c r="J15" s="1">
        <v>4.1079999999999997</v>
      </c>
    </row>
    <row r="16" spans="1:22" x14ac:dyDescent="0.35">
      <c r="A16" s="1">
        <v>6</v>
      </c>
      <c r="B16" s="1" t="s">
        <v>9</v>
      </c>
      <c r="C16" s="1" t="s">
        <v>10</v>
      </c>
      <c r="D16" s="1" t="s">
        <v>16</v>
      </c>
      <c r="E16" s="1" t="s">
        <v>8</v>
      </c>
      <c r="F16" s="1">
        <v>56.12</v>
      </c>
      <c r="G16" s="1">
        <v>2</v>
      </c>
      <c r="H16" s="1">
        <v>0</v>
      </c>
      <c r="I16" s="1">
        <v>21.32</v>
      </c>
      <c r="J16" s="1">
        <v>4.718</v>
      </c>
    </row>
    <row r="17" spans="1:13" x14ac:dyDescent="0.35">
      <c r="A17" s="1">
        <v>27</v>
      </c>
      <c r="B17" s="1" t="s">
        <v>38</v>
      </c>
      <c r="C17" s="1" t="s">
        <v>6</v>
      </c>
      <c r="D17" s="1" t="s">
        <v>40</v>
      </c>
      <c r="E17" s="1" t="s">
        <v>8</v>
      </c>
      <c r="F17" s="1">
        <v>80</v>
      </c>
      <c r="G17" s="1">
        <v>5</v>
      </c>
      <c r="H17" s="1">
        <v>0</v>
      </c>
      <c r="I17" s="1">
        <v>34.4</v>
      </c>
      <c r="J17" s="1">
        <v>5.0839999999999996</v>
      </c>
      <c r="M17" t="s">
        <v>18</v>
      </c>
    </row>
    <row r="18" spans="1:13" x14ac:dyDescent="0.35">
      <c r="A18" s="1">
        <v>30</v>
      </c>
      <c r="B18" s="1" t="s">
        <v>41</v>
      </c>
      <c r="C18" s="1" t="s">
        <v>42</v>
      </c>
      <c r="D18" s="1" t="s">
        <v>43</v>
      </c>
      <c r="E18" s="1" t="s">
        <v>20</v>
      </c>
      <c r="F18" s="1">
        <v>114.816</v>
      </c>
      <c r="G18" s="1">
        <v>4</v>
      </c>
      <c r="H18" s="1">
        <v>0.4</v>
      </c>
      <c r="I18" s="1">
        <v>-149.82400000000001</v>
      </c>
      <c r="J18" s="1">
        <v>5.923</v>
      </c>
    </row>
    <row r="19" spans="1:13" x14ac:dyDescent="0.35">
      <c r="A19" s="1">
        <v>15</v>
      </c>
      <c r="B19" s="1" t="s">
        <v>31</v>
      </c>
      <c r="C19" s="1" t="s">
        <v>18</v>
      </c>
      <c r="D19" s="1" t="s">
        <v>15</v>
      </c>
      <c r="E19" s="1" t="s">
        <v>8</v>
      </c>
      <c r="F19" s="1">
        <v>132.63999999999999</v>
      </c>
      <c r="G19" s="1">
        <v>4</v>
      </c>
      <c r="H19" s="1">
        <v>0</v>
      </c>
      <c r="I19" s="1">
        <v>35.76</v>
      </c>
      <c r="J19" s="1">
        <v>6.2030000000000003</v>
      </c>
    </row>
    <row r="20" spans="1:13" x14ac:dyDescent="0.35">
      <c r="A20" s="1">
        <v>9</v>
      </c>
      <c r="B20" s="1" t="s">
        <v>17</v>
      </c>
      <c r="C20" s="1" t="s">
        <v>18</v>
      </c>
      <c r="D20" s="1" t="s">
        <v>21</v>
      </c>
      <c r="E20" s="1" t="s">
        <v>8</v>
      </c>
      <c r="F20" s="1">
        <v>97.36</v>
      </c>
      <c r="G20" s="1">
        <v>4</v>
      </c>
      <c r="H20" s="1">
        <v>0</v>
      </c>
      <c r="I20" s="1">
        <v>19.440000000000001</v>
      </c>
      <c r="J20" s="1">
        <v>6.8630000000000004</v>
      </c>
    </row>
    <row r="21" spans="1:13" x14ac:dyDescent="0.35">
      <c r="A21" s="1">
        <v>14</v>
      </c>
      <c r="B21" s="1" t="s">
        <v>30</v>
      </c>
      <c r="C21" s="1" t="s">
        <v>27</v>
      </c>
      <c r="D21" s="1" t="s">
        <v>16</v>
      </c>
      <c r="E21" s="1" t="s">
        <v>8</v>
      </c>
      <c r="F21" s="1">
        <v>80.099999999999994</v>
      </c>
      <c r="G21" s="1">
        <v>3</v>
      </c>
      <c r="H21" s="1">
        <v>0</v>
      </c>
      <c r="I21" s="1">
        <v>37.619999999999997</v>
      </c>
      <c r="J21" s="1">
        <v>8.8629999999999995</v>
      </c>
    </row>
    <row r="22" spans="1:13" x14ac:dyDescent="0.35">
      <c r="A22" s="1">
        <v>28</v>
      </c>
      <c r="B22" s="1" t="s">
        <v>41</v>
      </c>
      <c r="C22" s="1" t="s">
        <v>42</v>
      </c>
      <c r="D22" s="1" t="s">
        <v>14</v>
      </c>
      <c r="E22" s="1" t="s">
        <v>8</v>
      </c>
      <c r="F22" s="1">
        <v>141.28800000000001</v>
      </c>
      <c r="G22" s="1">
        <v>7</v>
      </c>
      <c r="H22" s="1">
        <v>0.4</v>
      </c>
      <c r="I22" s="1">
        <v>-73.052000000000007</v>
      </c>
      <c r="J22" s="1">
        <v>9.4649999999999999</v>
      </c>
    </row>
    <row r="23" spans="1:13" x14ac:dyDescent="0.35">
      <c r="A23" s="1">
        <v>3</v>
      </c>
      <c r="B23" s="1" t="s">
        <v>9</v>
      </c>
      <c r="C23" s="1" t="s">
        <v>10</v>
      </c>
      <c r="D23" s="1" t="s">
        <v>13</v>
      </c>
      <c r="E23" s="1" t="s">
        <v>12</v>
      </c>
      <c r="F23" s="1">
        <v>193.28</v>
      </c>
      <c r="G23" s="1">
        <v>2</v>
      </c>
      <c r="H23" s="1">
        <v>0</v>
      </c>
      <c r="I23" s="1">
        <v>54.08</v>
      </c>
      <c r="J23" s="1">
        <v>9.6270000000000007</v>
      </c>
    </row>
    <row r="24" spans="1:13" x14ac:dyDescent="0.35">
      <c r="A24" s="1">
        <v>2</v>
      </c>
      <c r="B24" s="1" t="s">
        <v>9</v>
      </c>
      <c r="C24" s="1" t="s">
        <v>10</v>
      </c>
      <c r="D24" s="1" t="s">
        <v>11</v>
      </c>
      <c r="E24" s="1" t="s">
        <v>12</v>
      </c>
      <c r="F24" s="1">
        <v>252.16</v>
      </c>
      <c r="G24" s="1">
        <v>8</v>
      </c>
      <c r="H24" s="1">
        <v>0</v>
      </c>
      <c r="I24" s="1">
        <v>90.72</v>
      </c>
      <c r="J24" s="1">
        <v>13.449</v>
      </c>
    </row>
    <row r="25" spans="1:13" x14ac:dyDescent="0.35">
      <c r="A25" s="1">
        <v>13</v>
      </c>
      <c r="B25" s="2">
        <v>42493</v>
      </c>
      <c r="C25" s="1" t="s">
        <v>27</v>
      </c>
      <c r="D25" s="1" t="s">
        <v>29</v>
      </c>
      <c r="E25" s="1" t="s">
        <v>12</v>
      </c>
      <c r="F25" s="1">
        <v>210.64</v>
      </c>
      <c r="G25" s="1">
        <v>4</v>
      </c>
      <c r="H25" s="1">
        <v>0</v>
      </c>
      <c r="I25" s="1">
        <v>50.48</v>
      </c>
      <c r="J25" s="1">
        <v>16.065000000000001</v>
      </c>
    </row>
    <row r="26" spans="1:13" x14ac:dyDescent="0.35">
      <c r="A26" s="1">
        <v>26</v>
      </c>
      <c r="B26" s="1" t="s">
        <v>38</v>
      </c>
      <c r="C26" s="1" t="s">
        <v>6</v>
      </c>
      <c r="D26" s="1" t="s">
        <v>39</v>
      </c>
      <c r="E26" s="1" t="s">
        <v>20</v>
      </c>
      <c r="F26" s="1">
        <v>326.18632000000002</v>
      </c>
      <c r="G26" s="1">
        <v>2</v>
      </c>
      <c r="H26" s="1">
        <v>2E-3</v>
      </c>
      <c r="I26" s="1">
        <v>64.706320000000005</v>
      </c>
      <c r="J26" s="1">
        <v>16.777000000000001</v>
      </c>
    </row>
    <row r="27" spans="1:13" x14ac:dyDescent="0.35">
      <c r="A27" s="1">
        <v>10</v>
      </c>
      <c r="B27" s="1" t="s">
        <v>17</v>
      </c>
      <c r="C27" s="1" t="s">
        <v>18</v>
      </c>
      <c r="D27" s="1" t="s">
        <v>22</v>
      </c>
      <c r="E27" s="1" t="s">
        <v>20</v>
      </c>
      <c r="F27" s="1">
        <v>341.52</v>
      </c>
      <c r="G27" s="1">
        <v>2</v>
      </c>
      <c r="H27" s="1">
        <v>0</v>
      </c>
      <c r="I27" s="1">
        <v>13.64</v>
      </c>
      <c r="J27" s="1">
        <v>17.341000000000001</v>
      </c>
    </row>
    <row r="28" spans="1:13" x14ac:dyDescent="0.35">
      <c r="A28" s="1">
        <v>8</v>
      </c>
      <c r="B28" s="2">
        <v>45992</v>
      </c>
      <c r="C28" s="1" t="s">
        <v>18</v>
      </c>
      <c r="D28" s="1" t="s">
        <v>19</v>
      </c>
      <c r="E28" s="1" t="s">
        <v>20</v>
      </c>
      <c r="F28" s="1">
        <v>344.64</v>
      </c>
      <c r="G28" s="1">
        <v>3</v>
      </c>
      <c r="H28" s="1">
        <v>0</v>
      </c>
      <c r="I28" s="1">
        <v>165.42</v>
      </c>
      <c r="J28" s="1">
        <v>26.202000000000002</v>
      </c>
    </row>
    <row r="29" spans="1:13" x14ac:dyDescent="0.35">
      <c r="A29" s="1">
        <v>18</v>
      </c>
      <c r="B29" s="1" t="s">
        <v>32</v>
      </c>
      <c r="C29" s="1" t="s">
        <v>33</v>
      </c>
      <c r="D29" s="1" t="s">
        <v>11</v>
      </c>
      <c r="E29" s="1" t="s">
        <v>12</v>
      </c>
      <c r="F29" s="1">
        <v>308.27999999999997</v>
      </c>
      <c r="G29" s="1">
        <v>7</v>
      </c>
      <c r="H29" s="1">
        <v>0.4</v>
      </c>
      <c r="I29" s="1">
        <v>-149.1</v>
      </c>
      <c r="J29" s="1">
        <v>27.77</v>
      </c>
    </row>
    <row r="30" spans="1:13" x14ac:dyDescent="0.35">
      <c r="A30" s="1">
        <v>23</v>
      </c>
      <c r="B30" s="1" t="s">
        <v>35</v>
      </c>
      <c r="C30" s="1" t="s">
        <v>36</v>
      </c>
      <c r="D30" s="1" t="s">
        <v>21</v>
      </c>
      <c r="E30" s="1" t="s">
        <v>8</v>
      </c>
      <c r="F30" s="1">
        <v>207</v>
      </c>
      <c r="G30" s="1">
        <v>9</v>
      </c>
      <c r="H30" s="1">
        <v>0</v>
      </c>
      <c r="I30" s="1">
        <v>66.239999999999995</v>
      </c>
      <c r="J30" s="1">
        <v>37.856999999999999</v>
      </c>
    </row>
    <row r="31" spans="1:13" x14ac:dyDescent="0.35">
      <c r="A31" s="1">
        <v>21</v>
      </c>
      <c r="B31" s="1" t="s">
        <v>34</v>
      </c>
      <c r="C31" s="1" t="s">
        <v>6</v>
      </c>
      <c r="D31" s="1" t="s">
        <v>29</v>
      </c>
      <c r="E31" s="1" t="s">
        <v>12</v>
      </c>
      <c r="F31" s="1">
        <v>273.47199999999998</v>
      </c>
      <c r="G31" s="1">
        <v>4</v>
      </c>
      <c r="H31" s="1">
        <v>0.2</v>
      </c>
      <c r="I31" s="1">
        <v>95.712000000000003</v>
      </c>
      <c r="J31" s="1">
        <v>48.164999999999999</v>
      </c>
    </row>
  </sheetData>
  <sortState xmlns:xlrd2="http://schemas.microsoft.com/office/spreadsheetml/2017/richdata2" ref="A2:J31">
    <sortCondition ref="J2:J31"/>
  </sortState>
  <conditionalFormatting sqref="A1:J31">
    <cfRule type="expression" dxfId="20" priority="1">
      <formula>$G1&gt;5</formula>
    </cfRule>
    <cfRule type="expression" dxfId="19" priority="2">
      <formula>$C1=$U$11</formula>
    </cfRule>
  </conditionalFormatting>
  <conditionalFormatting sqref="F1:F3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I31">
    <cfRule type="top10" dxfId="18" priority="17" percent="1" rank="10"/>
  </conditionalFormatting>
  <conditionalFormatting sqref="F2:J31">
    <cfRule type="top10" dxfId="17" priority="16" percent="1" rank="10"/>
  </conditionalFormatting>
  <conditionalFormatting sqref="G2:G31">
    <cfRule type="top10" dxfId="16" priority="10" percent="1" rank="10"/>
    <cfRule type="top10" dxfId="15" priority="11" percent="1" bottom="1" rank="10"/>
    <cfRule type="top10" dxfId="14" priority="12" percent="1" bottom="1" rank="10"/>
  </conditionalFormatting>
  <conditionalFormatting sqref="H1:H31">
    <cfRule type="cellIs" dxfId="13" priority="7" operator="greaterThan">
      <formula>0.2</formula>
    </cfRule>
  </conditionalFormatting>
  <conditionalFormatting sqref="I1:I31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J1:J31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{CD412190-CC6B-40AB-947D-46D46BE08F59}</x14:id>
        </ext>
      </extLst>
    </cfRule>
  </conditionalFormatting>
  <conditionalFormatting sqref="J2:J3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{7D3FC12E-2572-4412-86BF-C1EF54E113BE}</x14:id>
        </ext>
      </extLst>
    </cfRule>
    <cfRule type="cellIs" dxfId="12" priority="14" operator="equal">
      <formula>$J$26</formula>
    </cfRule>
    <cfRule type="top10" dxfId="11" priority="18" bottom="1" rank="10"/>
  </conditionalFormatting>
  <conditionalFormatting sqref="J22">
    <cfRule type="cellIs" dxfId="10" priority="28" operator="equal">
      <formula>$M$5</formula>
    </cfRule>
  </conditionalFormatting>
  <conditionalFormatting sqref="L11">
    <cfRule type="expression" dxfId="9" priority="4">
      <formula>$C1</formula>
    </cfRule>
  </conditionalFormatting>
  <conditionalFormatting sqref="L16">
    <cfRule type="cellIs" dxfId="8" priority="13" operator="equal">
      <formula>$M$6</formula>
    </cfRule>
  </conditionalFormatting>
  <conditionalFormatting sqref="M6">
    <cfRule type="cellIs" dxfId="7" priority="22" operator="equal">
      <formula>$M$6</formula>
    </cfRule>
    <cfRule type="cellIs" dxfId="6" priority="24" operator="equal">
      <formula>-149.824</formula>
    </cfRule>
    <cfRule type="cellIs" dxfId="5" priority="29" operator="equal">
      <formula>$M$5</formula>
    </cfRule>
  </conditionalFormatting>
  <conditionalFormatting sqref="M6:M7">
    <cfRule type="cellIs" dxfId="4" priority="15" operator="equal">
      <formula>$M$6</formula>
    </cfRule>
    <cfRule type="cellIs" dxfId="3" priority="23" operator="equal">
      <formula>$M$6</formula>
    </cfRule>
  </conditionalFormatting>
  <conditionalFormatting sqref="M7">
    <cfRule type="top10" dxfId="2" priority="19" bottom="1" rank="10"/>
  </conditionalFormatting>
  <conditionalFormatting sqref="O7">
    <cfRule type="expression" dxfId="1" priority="3">
      <formula>$C1=$U$11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412190-CC6B-40AB-947D-46D46BE08F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J1:J31</xm:sqref>
        </x14:conditionalFormatting>
        <x14:conditionalFormatting xmlns:xm="http://schemas.microsoft.com/office/excel/2006/main">
          <x14:cfRule type="dataBar" id="{7D3FC12E-2572-4412-86BF-C1EF54E113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J2:J31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F46C9-5F27-4EBE-80C6-665FC91CEF27}">
  <dimension ref="A1:AE34"/>
  <sheetViews>
    <sheetView showGridLines="0" tabSelected="1" zoomScale="62" zoomScaleNormal="62" workbookViewId="0">
      <selection activeCell="L15" sqref="L15"/>
    </sheetView>
  </sheetViews>
  <sheetFormatPr defaultRowHeight="14.5" x14ac:dyDescent="0.35"/>
  <cols>
    <col min="2" max="2" width="14.453125" bestFit="1" customWidth="1"/>
    <col min="3" max="3" width="10.08984375" bestFit="1" customWidth="1"/>
    <col min="4" max="4" width="7.36328125" bestFit="1" customWidth="1"/>
    <col min="5" max="5" width="10.1796875" bestFit="1" customWidth="1"/>
    <col min="6" max="6" width="5.6328125" bestFit="1" customWidth="1"/>
    <col min="7" max="7" width="10.08984375" bestFit="1" customWidth="1"/>
    <col min="8" max="8" width="10.1796875" bestFit="1" customWidth="1"/>
    <col min="9" max="9" width="8.08984375" bestFit="1" customWidth="1"/>
    <col min="10" max="10" width="9.90625" bestFit="1" customWidth="1"/>
    <col min="12" max="12" width="184.36328125" bestFit="1" customWidth="1"/>
    <col min="15" max="15" width="8.7265625" customWidth="1"/>
  </cols>
  <sheetData>
    <row r="1" spans="1:31" ht="18" x14ac:dyDescent="0.4">
      <c r="A1" s="14" t="s">
        <v>51</v>
      </c>
      <c r="B1" s="14"/>
      <c r="C1" s="14"/>
      <c r="D1" s="14"/>
      <c r="E1" s="14"/>
      <c r="F1" s="14"/>
      <c r="G1" s="14"/>
      <c r="H1" s="14"/>
      <c r="I1" s="14"/>
      <c r="J1" s="14"/>
    </row>
    <row r="4" spans="1:31" ht="56" x14ac:dyDescent="0.35">
      <c r="A4" s="3" t="s">
        <v>52</v>
      </c>
      <c r="B4" s="3" t="s">
        <v>53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58</v>
      </c>
      <c r="H4" s="3" t="s">
        <v>59</v>
      </c>
      <c r="I4" s="3" t="s">
        <v>60</v>
      </c>
      <c r="J4" s="3" t="s">
        <v>61</v>
      </c>
    </row>
    <row r="5" spans="1:31" x14ac:dyDescent="0.35">
      <c r="A5" s="8" t="s">
        <v>145</v>
      </c>
      <c r="B5" s="9" t="s">
        <v>146</v>
      </c>
      <c r="C5" s="9" t="s">
        <v>5</v>
      </c>
      <c r="D5" s="9" t="s">
        <v>74</v>
      </c>
      <c r="E5" s="10" t="s">
        <v>147</v>
      </c>
      <c r="F5" s="8">
        <v>40</v>
      </c>
      <c r="G5" s="11">
        <v>6218.42</v>
      </c>
      <c r="H5" s="11">
        <v>6530.61</v>
      </c>
      <c r="I5" s="8">
        <v>3.6</v>
      </c>
      <c r="J5" s="9" t="s">
        <v>76</v>
      </c>
    </row>
    <row r="6" spans="1:31" x14ac:dyDescent="0.35">
      <c r="A6" s="8" t="s">
        <v>139</v>
      </c>
      <c r="B6" s="9" t="s">
        <v>140</v>
      </c>
      <c r="C6" s="9" t="s">
        <v>73</v>
      </c>
      <c r="D6" s="9" t="s">
        <v>91</v>
      </c>
      <c r="E6" s="10" t="s">
        <v>141</v>
      </c>
      <c r="F6" s="8">
        <v>34</v>
      </c>
      <c r="G6" s="11">
        <v>6264.58</v>
      </c>
      <c r="H6" s="11">
        <v>6423.18</v>
      </c>
      <c r="I6" s="8">
        <v>4.2</v>
      </c>
      <c r="J6" s="9" t="s">
        <v>76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 spans="1:31" x14ac:dyDescent="0.35">
      <c r="A7" s="4" t="s">
        <v>96</v>
      </c>
      <c r="B7" s="5" t="s">
        <v>97</v>
      </c>
      <c r="C7" s="5" t="s">
        <v>5</v>
      </c>
      <c r="D7" s="5" t="s">
        <v>85</v>
      </c>
      <c r="E7" s="6" t="s">
        <v>98</v>
      </c>
      <c r="F7" s="4">
        <v>56</v>
      </c>
      <c r="G7" s="7">
        <v>7149.99</v>
      </c>
      <c r="H7" s="7">
        <v>6063.02</v>
      </c>
      <c r="I7" s="4">
        <v>3.7</v>
      </c>
      <c r="J7" s="5" t="s">
        <v>76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 spans="1:31" x14ac:dyDescent="0.35">
      <c r="A8" s="4" t="s">
        <v>131</v>
      </c>
      <c r="B8" s="5" t="s">
        <v>132</v>
      </c>
      <c r="C8" s="5" t="s">
        <v>5</v>
      </c>
      <c r="D8" s="5" t="s">
        <v>74</v>
      </c>
      <c r="E8" s="6" t="s">
        <v>133</v>
      </c>
      <c r="F8" s="4">
        <v>66</v>
      </c>
      <c r="G8" s="7">
        <v>8589.1200000000008</v>
      </c>
      <c r="H8" s="7">
        <v>7299.75</v>
      </c>
      <c r="I8" s="4">
        <v>4.8</v>
      </c>
      <c r="J8" s="5" t="s">
        <v>76</v>
      </c>
    </row>
    <row r="9" spans="1:31" x14ac:dyDescent="0.35">
      <c r="A9" s="8" t="s">
        <v>99</v>
      </c>
      <c r="B9" s="9" t="s">
        <v>100</v>
      </c>
      <c r="C9" s="9" t="s">
        <v>73</v>
      </c>
      <c r="D9" s="9" t="s">
        <v>74</v>
      </c>
      <c r="E9" s="10" t="s">
        <v>101</v>
      </c>
      <c r="F9" s="8">
        <v>55</v>
      </c>
      <c r="G9" s="11">
        <v>9444.31</v>
      </c>
      <c r="H9" s="11">
        <v>7126.16</v>
      </c>
      <c r="I9" s="8">
        <v>2.1</v>
      </c>
      <c r="J9" s="9" t="s">
        <v>76</v>
      </c>
      <c r="L9" s="12"/>
    </row>
    <row r="10" spans="1:31" x14ac:dyDescent="0.35">
      <c r="A10" s="8" t="s">
        <v>122</v>
      </c>
      <c r="B10" s="9" t="s">
        <v>123</v>
      </c>
      <c r="C10" s="9" t="s">
        <v>5</v>
      </c>
      <c r="D10" s="9" t="s">
        <v>91</v>
      </c>
      <c r="E10" s="10" t="s">
        <v>124</v>
      </c>
      <c r="F10" s="8">
        <v>104</v>
      </c>
      <c r="G10" s="11">
        <v>9646.4500000000007</v>
      </c>
      <c r="H10" s="11">
        <v>8130.05</v>
      </c>
      <c r="I10" s="8">
        <v>4</v>
      </c>
      <c r="J10" s="9" t="s">
        <v>76</v>
      </c>
      <c r="L10" s="13"/>
    </row>
    <row r="11" spans="1:31" ht="21" x14ac:dyDescent="0.5">
      <c r="A11" s="4" t="s">
        <v>88</v>
      </c>
      <c r="B11" s="5" t="s">
        <v>89</v>
      </c>
      <c r="C11" s="5" t="s">
        <v>90</v>
      </c>
      <c r="D11" s="5" t="s">
        <v>91</v>
      </c>
      <c r="E11" s="6" t="s">
        <v>92</v>
      </c>
      <c r="F11" s="4">
        <v>61</v>
      </c>
      <c r="G11" s="7">
        <v>9955.6200000000008</v>
      </c>
      <c r="H11" s="7">
        <v>8581.43</v>
      </c>
      <c r="I11" s="4">
        <v>4.8</v>
      </c>
      <c r="J11" s="5" t="s">
        <v>87</v>
      </c>
      <c r="K11" s="15"/>
      <c r="L11" s="15"/>
    </row>
    <row r="12" spans="1:31" ht="21" x14ac:dyDescent="0.5">
      <c r="A12" s="8" t="s">
        <v>157</v>
      </c>
      <c r="B12" s="9" t="s">
        <v>158</v>
      </c>
      <c r="C12" s="9" t="s">
        <v>90</v>
      </c>
      <c r="D12" s="9" t="s">
        <v>64</v>
      </c>
      <c r="E12" s="10" t="s">
        <v>159</v>
      </c>
      <c r="F12" s="8">
        <v>49</v>
      </c>
      <c r="G12" s="11">
        <v>11767.27</v>
      </c>
      <c r="H12" s="11">
        <v>13478.82</v>
      </c>
      <c r="I12" s="8">
        <v>2.5</v>
      </c>
      <c r="J12" s="9" t="s">
        <v>76</v>
      </c>
      <c r="K12" s="15"/>
      <c r="L12" s="16" t="s">
        <v>160</v>
      </c>
    </row>
    <row r="13" spans="1:31" ht="21" x14ac:dyDescent="0.5">
      <c r="A13" s="8" t="s">
        <v>110</v>
      </c>
      <c r="B13" s="9" t="s">
        <v>111</v>
      </c>
      <c r="C13" s="9" t="s">
        <v>5</v>
      </c>
      <c r="D13" s="9" t="s">
        <v>74</v>
      </c>
      <c r="E13" s="10" t="s">
        <v>112</v>
      </c>
      <c r="F13" s="8">
        <v>48</v>
      </c>
      <c r="G13" s="11">
        <v>11867.41</v>
      </c>
      <c r="H13" s="11">
        <v>14564.08</v>
      </c>
      <c r="I13" s="8">
        <v>4.5</v>
      </c>
      <c r="J13" s="9" t="s">
        <v>76</v>
      </c>
      <c r="K13" s="15"/>
      <c r="L13" s="16" t="s">
        <v>161</v>
      </c>
    </row>
    <row r="14" spans="1:31" ht="21" x14ac:dyDescent="0.5">
      <c r="A14" s="4" t="s">
        <v>71</v>
      </c>
      <c r="B14" s="5" t="s">
        <v>72</v>
      </c>
      <c r="C14" s="5" t="s">
        <v>73</v>
      </c>
      <c r="D14" s="5" t="s">
        <v>74</v>
      </c>
      <c r="E14" s="6" t="s">
        <v>75</v>
      </c>
      <c r="F14" s="4">
        <v>60</v>
      </c>
      <c r="G14" s="7">
        <v>12339.91</v>
      </c>
      <c r="H14" s="7">
        <v>11157.13</v>
      </c>
      <c r="I14" s="4">
        <v>2.5</v>
      </c>
      <c r="J14" s="5" t="s">
        <v>76</v>
      </c>
      <c r="K14" s="15"/>
      <c r="L14" s="17"/>
    </row>
    <row r="15" spans="1:31" x14ac:dyDescent="0.35">
      <c r="A15" s="8" t="s">
        <v>83</v>
      </c>
      <c r="B15" s="9" t="s">
        <v>84</v>
      </c>
      <c r="C15" s="9" t="s">
        <v>5</v>
      </c>
      <c r="D15" s="9" t="s">
        <v>85</v>
      </c>
      <c r="E15" s="10" t="s">
        <v>86</v>
      </c>
      <c r="F15" s="8">
        <v>113</v>
      </c>
      <c r="G15" s="11">
        <v>12348.38</v>
      </c>
      <c r="H15" s="11">
        <v>11276.08</v>
      </c>
      <c r="I15" s="8">
        <v>4</v>
      </c>
      <c r="J15" s="9" t="s">
        <v>87</v>
      </c>
    </row>
    <row r="16" spans="1:31" x14ac:dyDescent="0.35">
      <c r="A16" s="8" t="s">
        <v>151</v>
      </c>
      <c r="B16" s="9" t="s">
        <v>152</v>
      </c>
      <c r="C16" s="9" t="s">
        <v>90</v>
      </c>
      <c r="D16" s="9" t="s">
        <v>74</v>
      </c>
      <c r="E16" s="10" t="s">
        <v>153</v>
      </c>
      <c r="F16" s="8">
        <v>74</v>
      </c>
      <c r="G16" s="11">
        <v>12658.38</v>
      </c>
      <c r="H16" s="11">
        <v>9866.8799999999992</v>
      </c>
      <c r="I16" s="8">
        <v>3</v>
      </c>
      <c r="J16" s="9" t="s">
        <v>76</v>
      </c>
    </row>
    <row r="17" spans="1:10" x14ac:dyDescent="0.35">
      <c r="A17" s="4" t="s">
        <v>119</v>
      </c>
      <c r="B17" s="5" t="s">
        <v>120</v>
      </c>
      <c r="C17" s="5" t="s">
        <v>5</v>
      </c>
      <c r="D17" s="5" t="s">
        <v>85</v>
      </c>
      <c r="E17" s="6" t="s">
        <v>121</v>
      </c>
      <c r="F17" s="4">
        <v>135</v>
      </c>
      <c r="G17" s="7">
        <v>13740.4</v>
      </c>
      <c r="H17" s="7">
        <v>11470.74</v>
      </c>
      <c r="I17" s="4">
        <v>3</v>
      </c>
      <c r="J17" s="5" t="s">
        <v>66</v>
      </c>
    </row>
    <row r="18" spans="1:10" x14ac:dyDescent="0.35">
      <c r="A18" s="4" t="s">
        <v>142</v>
      </c>
      <c r="B18" s="5" t="s">
        <v>143</v>
      </c>
      <c r="C18" s="5" t="s">
        <v>73</v>
      </c>
      <c r="D18" s="5" t="s">
        <v>74</v>
      </c>
      <c r="E18" s="6" t="s">
        <v>144</v>
      </c>
      <c r="F18" s="4">
        <v>150</v>
      </c>
      <c r="G18" s="7">
        <v>14163.01</v>
      </c>
      <c r="H18" s="7">
        <v>11493.21</v>
      </c>
      <c r="I18" s="4">
        <v>3.8</v>
      </c>
      <c r="J18" s="5" t="s">
        <v>87</v>
      </c>
    </row>
    <row r="19" spans="1:10" x14ac:dyDescent="0.35">
      <c r="A19" s="8" t="s">
        <v>104</v>
      </c>
      <c r="B19" s="9" t="s">
        <v>105</v>
      </c>
      <c r="C19" s="9" t="s">
        <v>90</v>
      </c>
      <c r="D19" s="9" t="s">
        <v>64</v>
      </c>
      <c r="E19" s="10" t="s">
        <v>106</v>
      </c>
      <c r="F19" s="8">
        <v>131</v>
      </c>
      <c r="G19" s="11">
        <v>14209.36</v>
      </c>
      <c r="H19" s="11">
        <v>9974.2199999999993</v>
      </c>
      <c r="I19" s="8">
        <v>4.2</v>
      </c>
      <c r="J19" s="9" t="s">
        <v>87</v>
      </c>
    </row>
    <row r="20" spans="1:10" x14ac:dyDescent="0.35">
      <c r="A20" s="8" t="s">
        <v>67</v>
      </c>
      <c r="B20" s="9" t="s">
        <v>68</v>
      </c>
      <c r="C20" s="9" t="s">
        <v>5</v>
      </c>
      <c r="D20" s="9" t="s">
        <v>69</v>
      </c>
      <c r="E20" s="10" t="s">
        <v>70</v>
      </c>
      <c r="F20" s="8">
        <v>174</v>
      </c>
      <c r="G20" s="11">
        <v>14751.11</v>
      </c>
      <c r="H20" s="11">
        <v>12085.62</v>
      </c>
      <c r="I20" s="8">
        <v>3.9</v>
      </c>
      <c r="J20" s="9" t="s">
        <v>66</v>
      </c>
    </row>
    <row r="21" spans="1:10" x14ac:dyDescent="0.35">
      <c r="A21" s="8" t="s">
        <v>93</v>
      </c>
      <c r="B21" s="9" t="s">
        <v>94</v>
      </c>
      <c r="C21" s="9" t="s">
        <v>5</v>
      </c>
      <c r="D21" s="9" t="s">
        <v>69</v>
      </c>
      <c r="E21" s="10" t="s">
        <v>95</v>
      </c>
      <c r="F21" s="8">
        <v>100</v>
      </c>
      <c r="G21" s="11">
        <v>15220.97</v>
      </c>
      <c r="H21" s="11">
        <v>11259.15</v>
      </c>
      <c r="I21" s="8">
        <v>4.7</v>
      </c>
      <c r="J21" s="9" t="s">
        <v>66</v>
      </c>
    </row>
    <row r="22" spans="1:10" x14ac:dyDescent="0.35">
      <c r="A22" s="8" t="s">
        <v>128</v>
      </c>
      <c r="B22" s="9" t="s">
        <v>129</v>
      </c>
      <c r="C22" s="9" t="s">
        <v>73</v>
      </c>
      <c r="D22" s="9" t="s">
        <v>85</v>
      </c>
      <c r="E22" s="10" t="s">
        <v>130</v>
      </c>
      <c r="F22" s="8">
        <v>185</v>
      </c>
      <c r="G22" s="11">
        <v>18077.32</v>
      </c>
      <c r="H22" s="11">
        <v>17021.11</v>
      </c>
      <c r="I22" s="8">
        <v>3</v>
      </c>
      <c r="J22" s="9" t="s">
        <v>76</v>
      </c>
    </row>
    <row r="23" spans="1:10" x14ac:dyDescent="0.35">
      <c r="A23" s="4" t="s">
        <v>80</v>
      </c>
      <c r="B23" s="5" t="s">
        <v>81</v>
      </c>
      <c r="C23" s="5" t="s">
        <v>5</v>
      </c>
      <c r="D23" s="5" t="s">
        <v>74</v>
      </c>
      <c r="E23" s="6" t="s">
        <v>82</v>
      </c>
      <c r="F23" s="4">
        <v>200</v>
      </c>
      <c r="G23" s="7">
        <v>18503.990000000002</v>
      </c>
      <c r="H23" s="7">
        <v>20294.400000000001</v>
      </c>
      <c r="I23" s="4">
        <v>4.3</v>
      </c>
      <c r="J23" s="5" t="s">
        <v>76</v>
      </c>
    </row>
    <row r="24" spans="1:10" x14ac:dyDescent="0.35">
      <c r="A24" s="8" t="s">
        <v>77</v>
      </c>
      <c r="B24" s="9" t="s">
        <v>78</v>
      </c>
      <c r="C24" s="9" t="s">
        <v>73</v>
      </c>
      <c r="D24" s="9" t="s">
        <v>69</v>
      </c>
      <c r="E24" s="10" t="s">
        <v>79</v>
      </c>
      <c r="F24" s="8">
        <v>87</v>
      </c>
      <c r="G24" s="11">
        <v>19599.63</v>
      </c>
      <c r="H24" s="11">
        <v>22301.22</v>
      </c>
      <c r="I24" s="8">
        <v>3.6</v>
      </c>
      <c r="J24" s="9" t="s">
        <v>76</v>
      </c>
    </row>
    <row r="25" spans="1:10" x14ac:dyDescent="0.35">
      <c r="A25" s="4" t="s">
        <v>62</v>
      </c>
      <c r="B25" s="5" t="s">
        <v>63</v>
      </c>
      <c r="C25" s="5" t="s">
        <v>5</v>
      </c>
      <c r="D25" s="5" t="s">
        <v>64</v>
      </c>
      <c r="E25" s="6" t="s">
        <v>65</v>
      </c>
      <c r="F25" s="4">
        <v>208</v>
      </c>
      <c r="G25" s="7">
        <v>20477.419999999998</v>
      </c>
      <c r="H25" s="7">
        <v>23434.37</v>
      </c>
      <c r="I25" s="4">
        <v>3.6</v>
      </c>
      <c r="J25" s="5" t="s">
        <v>66</v>
      </c>
    </row>
    <row r="26" spans="1:10" x14ac:dyDescent="0.35">
      <c r="A26" s="4" t="s">
        <v>137</v>
      </c>
      <c r="B26" s="5" t="s">
        <v>78</v>
      </c>
      <c r="C26" s="5" t="s">
        <v>5</v>
      </c>
      <c r="D26" s="5" t="s">
        <v>91</v>
      </c>
      <c r="E26" s="6" t="s">
        <v>138</v>
      </c>
      <c r="F26" s="4">
        <v>87</v>
      </c>
      <c r="G26" s="7">
        <v>21469.27</v>
      </c>
      <c r="H26" s="7">
        <v>25142.18</v>
      </c>
      <c r="I26" s="4">
        <v>2.9</v>
      </c>
      <c r="J26" s="5" t="s">
        <v>87</v>
      </c>
    </row>
    <row r="27" spans="1:10" x14ac:dyDescent="0.35">
      <c r="A27" s="4" t="s">
        <v>148</v>
      </c>
      <c r="B27" s="5" t="s">
        <v>149</v>
      </c>
      <c r="C27" s="5" t="s">
        <v>5</v>
      </c>
      <c r="D27" s="5" t="s">
        <v>64</v>
      </c>
      <c r="E27" s="6" t="s">
        <v>150</v>
      </c>
      <c r="F27" s="4">
        <v>185</v>
      </c>
      <c r="G27" s="7">
        <v>24789.9</v>
      </c>
      <c r="H27" s="7">
        <v>22055.73</v>
      </c>
      <c r="I27" s="4">
        <v>4.3</v>
      </c>
      <c r="J27" s="5" t="s">
        <v>76</v>
      </c>
    </row>
    <row r="28" spans="1:10" x14ac:dyDescent="0.35">
      <c r="A28" s="8" t="s">
        <v>116</v>
      </c>
      <c r="B28" s="9" t="s">
        <v>117</v>
      </c>
      <c r="C28" s="9" t="s">
        <v>90</v>
      </c>
      <c r="D28" s="9" t="s">
        <v>91</v>
      </c>
      <c r="E28" s="10" t="s">
        <v>118</v>
      </c>
      <c r="F28" s="8">
        <v>175</v>
      </c>
      <c r="G28" s="11">
        <v>27328.85</v>
      </c>
      <c r="H28" s="11">
        <v>22603.119999999999</v>
      </c>
      <c r="I28" s="8">
        <v>3.6</v>
      </c>
      <c r="J28" s="9" t="s">
        <v>87</v>
      </c>
    </row>
    <row r="29" spans="1:10" x14ac:dyDescent="0.35">
      <c r="A29" s="4" t="s">
        <v>107</v>
      </c>
      <c r="B29" s="5" t="s">
        <v>108</v>
      </c>
      <c r="C29" s="5" t="s">
        <v>5</v>
      </c>
      <c r="D29" s="5" t="s">
        <v>74</v>
      </c>
      <c r="E29" s="6" t="s">
        <v>109</v>
      </c>
      <c r="F29" s="4">
        <v>183</v>
      </c>
      <c r="G29" s="7">
        <v>31362.42</v>
      </c>
      <c r="H29" s="7">
        <v>25696.69</v>
      </c>
      <c r="I29" s="4">
        <v>3.1</v>
      </c>
      <c r="J29" s="5" t="s">
        <v>76</v>
      </c>
    </row>
    <row r="30" spans="1:10" x14ac:dyDescent="0.35">
      <c r="A30" s="4" t="s">
        <v>125</v>
      </c>
      <c r="B30" s="5" t="s">
        <v>126</v>
      </c>
      <c r="C30" s="5" t="s">
        <v>90</v>
      </c>
      <c r="D30" s="5" t="s">
        <v>74</v>
      </c>
      <c r="E30" s="6" t="s">
        <v>127</v>
      </c>
      <c r="F30" s="4">
        <v>141</v>
      </c>
      <c r="G30" s="7">
        <v>31774.27</v>
      </c>
      <c r="H30" s="7">
        <v>25872.07</v>
      </c>
      <c r="I30" s="4">
        <v>2.2999999999999998</v>
      </c>
      <c r="J30" s="5" t="s">
        <v>76</v>
      </c>
    </row>
    <row r="31" spans="1:10" x14ac:dyDescent="0.35">
      <c r="A31" s="4" t="s">
        <v>113</v>
      </c>
      <c r="B31" s="5" t="s">
        <v>114</v>
      </c>
      <c r="C31" s="5" t="s">
        <v>5</v>
      </c>
      <c r="D31" s="5" t="s">
        <v>74</v>
      </c>
      <c r="E31" s="6" t="s">
        <v>115</v>
      </c>
      <c r="F31" s="4">
        <v>144</v>
      </c>
      <c r="G31" s="7">
        <v>32671.32</v>
      </c>
      <c r="H31" s="7">
        <v>42041.15</v>
      </c>
      <c r="I31" s="4">
        <v>3.6</v>
      </c>
      <c r="J31" s="5" t="s">
        <v>76</v>
      </c>
    </row>
    <row r="32" spans="1:10" x14ac:dyDescent="0.35">
      <c r="A32" s="4" t="s">
        <v>154</v>
      </c>
      <c r="B32" s="5" t="s">
        <v>155</v>
      </c>
      <c r="C32" s="5" t="s">
        <v>5</v>
      </c>
      <c r="D32" s="5" t="s">
        <v>64</v>
      </c>
      <c r="E32" s="6" t="s">
        <v>156</v>
      </c>
      <c r="F32" s="4">
        <v>159</v>
      </c>
      <c r="G32" s="7">
        <v>32855.31</v>
      </c>
      <c r="H32" s="7">
        <v>35056.83</v>
      </c>
      <c r="I32" s="4">
        <v>5</v>
      </c>
      <c r="J32" s="5" t="s">
        <v>87</v>
      </c>
    </row>
    <row r="33" spans="1:10" x14ac:dyDescent="0.35">
      <c r="A33" s="4" t="s">
        <v>102</v>
      </c>
      <c r="B33" s="5" t="s">
        <v>78</v>
      </c>
      <c r="C33" s="5" t="s">
        <v>73</v>
      </c>
      <c r="D33" s="5" t="s">
        <v>74</v>
      </c>
      <c r="E33" s="6" t="s">
        <v>103</v>
      </c>
      <c r="F33" s="4">
        <v>172</v>
      </c>
      <c r="G33" s="7">
        <v>44599.92</v>
      </c>
      <c r="H33" s="7">
        <v>45379.02</v>
      </c>
      <c r="I33" s="4">
        <v>4.9000000000000004</v>
      </c>
      <c r="J33" s="5" t="s">
        <v>76</v>
      </c>
    </row>
    <row r="34" spans="1:10" x14ac:dyDescent="0.35">
      <c r="A34" s="8" t="s">
        <v>134</v>
      </c>
      <c r="B34" s="9" t="s">
        <v>135</v>
      </c>
      <c r="C34" s="9" t="s">
        <v>5</v>
      </c>
      <c r="D34" s="9" t="s">
        <v>69</v>
      </c>
      <c r="E34" s="10" t="s">
        <v>136</v>
      </c>
      <c r="F34" s="8">
        <v>212</v>
      </c>
      <c r="G34" s="11">
        <v>49346.23</v>
      </c>
      <c r="H34" s="11">
        <v>39466.46</v>
      </c>
      <c r="I34" s="8">
        <v>3.5</v>
      </c>
      <c r="J34" s="9" t="s">
        <v>76</v>
      </c>
    </row>
  </sheetData>
  <sortState xmlns:xlrd2="http://schemas.microsoft.com/office/spreadsheetml/2017/richdata2" ref="A5:J34">
    <sortCondition ref="G4:G34"/>
  </sortState>
  <mergeCells count="1">
    <mergeCell ref="A1:J1"/>
  </mergeCells>
  <conditionalFormatting sqref="B4:B34">
    <cfRule type="duplicateValues" dxfId="0" priority="2"/>
  </conditionalFormatting>
  <conditionalFormatting sqref="G4:G3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{826010D3-2E12-4DC9-AF7B-DFAFE3B3CB31}</x14:id>
        </ext>
      </extLst>
    </cfRule>
  </conditionalFormatting>
  <pageMargins left="0.7" right="0.7" top="0.75" bottom="0.75" header="0.3" footer="0.3"/>
  <pageSetup paperSize="9" fitToWidth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6010D3-2E12-4DC9-AF7B-DFAFE3B3CB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G4:G34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Conditional Formatting</vt:lpstr>
      <vt:lpstr>CONDITIONAL FORMATTING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Gayatri Shinde</dc:creator>
  <cp:lastModifiedBy>Gayatri Shinde</cp:lastModifiedBy>
  <cp:lastPrinted>2026-09-04T05:14:58Z</cp:lastPrinted>
  <dcterms:created xsi:type="dcterms:W3CDTF">2026-09-03T18:45:26Z</dcterms:created>
  <dcterms:modified xsi:type="dcterms:W3CDTF">2026-09-04T05:19:58Z</dcterms:modified>
</cp:coreProperties>
</file>